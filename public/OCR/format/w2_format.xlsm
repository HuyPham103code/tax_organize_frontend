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silversea-analytics\demo\demo_tax_api\media\generate_excel_to_import\format\"/>
    </mc:Choice>
  </mc:AlternateContent>
  <xr:revisionPtr revIDLastSave="0" documentId="13_ncr:1_{F6270B42-0314-4EA1-A1FF-DE9B5437F75E}" xr6:coauthVersionLast="47" xr6:coauthVersionMax="47" xr10:uidLastSave="{00000000-0000-0000-0000-000000000000}"/>
  <bookViews>
    <workbookView xWindow="-108" yWindow="-108" windowWidth="23256" windowHeight="12456" tabRatio="914" firstSheet="1" activeTab="2" xr2:uid="{00000000-000D-0000-FFFF-FFFF00000000}"/>
  </bookViews>
  <sheets>
    <sheet name="Lists" sheetId="12" state="hidden" r:id="rId1"/>
    <sheet name="1040 Summary" sheetId="21" r:id="rId2"/>
    <sheet name="W-2 Summary" sheetId="11" r:id="rId3"/>
    <sheet name="Brokerage Summary (Sch B, D)" sheetId="1" r:id="rId4"/>
    <sheet name="1099-R Summary" sheetId="13" r:id="rId5"/>
    <sheet name="Social Security" sheetId="16" r:id="rId6"/>
    <sheet name="K-1 Summary (Sch E) OLD" sheetId="5" state="hidden" r:id="rId7"/>
    <sheet name="Schedule E -K-1 Summary" sheetId="10" r:id="rId8"/>
    <sheet name="Schedule C - 1" sheetId="22" r:id="rId9"/>
    <sheet name="Schedule C - 2" sheetId="26" r:id="rId10"/>
    <sheet name="Schedule C - 3" sheetId="27" r:id="rId11"/>
    <sheet name="Form 4797" sheetId="29" r:id="rId12"/>
    <sheet name="Schedule E - Rental 1" sheetId="23" r:id="rId13"/>
    <sheet name="Sheet1" sheetId="32" r:id="rId14"/>
    <sheet name="Schedule E - Rental 2" sheetId="24" r:id="rId15"/>
    <sheet name="Schedule E - Rental 3" sheetId="25" r:id="rId16"/>
    <sheet name="QBID" sheetId="31" r:id="rId17"/>
    <sheet name="Schedule F 1" sheetId="28" r:id="rId18"/>
    <sheet name="Schedule F 2" sheetId="30" r:id="rId19"/>
    <sheet name="Schedule A" sheetId="17" r:id="rId20"/>
    <sheet name="State Tax Refunds (OLD)" sheetId="8" state="hidden" r:id="rId21"/>
    <sheet name="Schedule SE" sheetId="19" r:id="rId22"/>
    <sheet name="NII" sheetId="20" r:id="rId23"/>
    <sheet name="Fed-State Tax Payments" sheetId="18" r:id="rId24"/>
  </sheets>
  <externalReferences>
    <externalReference r:id="rId25"/>
    <externalReference r:id="rId26"/>
  </externalReferences>
  <definedNames>
    <definedName name="_xlnm._FilterDatabase" localSheetId="3" hidden="1">'Brokerage Summary (Sch B, D)'!$AA$1:$AA$3</definedName>
    <definedName name="MaxSSTax" localSheetId="5">#REF!</definedName>
    <definedName name="MaxSSTax">#REF!</definedName>
    <definedName name="MaxSSTaxEarnings" localSheetId="5">#REF!</definedName>
    <definedName name="MaxSSTaxEarnings">#REF!</definedName>
    <definedName name="NoColor">'[1]1040'!$AP$2</definedName>
    <definedName name="PYPymts">'[2]Federal &amp; State Tax Pmts'!$E$9:$H$10</definedName>
    <definedName name="SSTaxRate" localSheetId="5">#REF!</definedName>
    <definedName name="SSTaxRa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6" i="13" l="1"/>
  <c r="N33" i="13"/>
  <c r="N38" i="11"/>
  <c r="N37" i="11"/>
  <c r="B16" i="16" l="1"/>
  <c r="C16" i="16"/>
  <c r="F14" i="16" l="1"/>
  <c r="F13" i="16"/>
  <c r="D121" i="1"/>
  <c r="N36" i="11"/>
  <c r="N35" i="11"/>
  <c r="N34" i="11"/>
  <c r="N33" i="11"/>
  <c r="N32" i="11"/>
  <c r="N31" i="11"/>
  <c r="N30" i="11"/>
  <c r="N29" i="11"/>
  <c r="N28" i="11"/>
  <c r="N27" i="11"/>
  <c r="N26" i="11"/>
  <c r="N25" i="11"/>
  <c r="F50" i="21"/>
  <c r="E50" i="21"/>
  <c r="F49" i="21"/>
  <c r="E49" i="21"/>
  <c r="F52" i="21" l="1"/>
  <c r="G50" i="21"/>
  <c r="G49" i="21"/>
  <c r="E52" i="21"/>
  <c r="F18" i="21" l="1"/>
  <c r="E18" i="21"/>
  <c r="P121" i="1" l="1"/>
  <c r="O121" i="1"/>
  <c r="N121" i="1"/>
  <c r="M121" i="1"/>
  <c r="L121" i="1"/>
  <c r="K121" i="1"/>
  <c r="J121" i="1"/>
  <c r="I121" i="1"/>
  <c r="H121" i="1"/>
  <c r="G121" i="1"/>
  <c r="F121" i="1"/>
  <c r="E121" i="1"/>
  <c r="F25" i="17" l="1"/>
  <c r="U33" i="18"/>
  <c r="U32" i="18"/>
  <c r="G19" i="18"/>
  <c r="U18" i="18"/>
  <c r="U17" i="18"/>
  <c r="U16" i="18"/>
  <c r="U15" i="18"/>
  <c r="U14" i="18"/>
  <c r="S19" i="18"/>
  <c r="Q19" i="18"/>
  <c r="O19" i="18"/>
  <c r="M19" i="18"/>
  <c r="K19" i="18"/>
  <c r="I19" i="18"/>
  <c r="E19" i="18"/>
  <c r="U19" i="18" l="1"/>
  <c r="F3" i="11"/>
  <c r="B3" i="19"/>
  <c r="D3" i="19"/>
  <c r="Z114" i="31" l="1"/>
  <c r="AA114" i="31" s="1"/>
  <c r="X114" i="31"/>
  <c r="Y114" i="31" s="1"/>
  <c r="Z113" i="31"/>
  <c r="AA113" i="31" s="1"/>
  <c r="X113" i="31"/>
  <c r="Y113" i="31" s="1"/>
  <c r="Z112" i="31"/>
  <c r="AA112" i="31" s="1"/>
  <c r="X112" i="31"/>
  <c r="Y112" i="31" s="1"/>
  <c r="Z111" i="31"/>
  <c r="AA111" i="31" s="1"/>
  <c r="X111" i="31"/>
  <c r="Y111" i="31" s="1"/>
  <c r="Z110" i="31"/>
  <c r="AA110" i="31" s="1"/>
  <c r="X110" i="31"/>
  <c r="Y110" i="31" s="1"/>
  <c r="Z109" i="31"/>
  <c r="AA109" i="31" s="1"/>
  <c r="X109" i="31"/>
  <c r="Y109" i="31" s="1"/>
  <c r="Z108" i="31"/>
  <c r="AA108" i="31" s="1"/>
  <c r="X108" i="31"/>
  <c r="Y108" i="31" s="1"/>
  <c r="Z107" i="31"/>
  <c r="AA107" i="31" s="1"/>
  <c r="X107" i="31"/>
  <c r="Y107" i="31" s="1"/>
  <c r="Z106" i="31"/>
  <c r="AA106" i="31" s="1"/>
  <c r="X106" i="31"/>
  <c r="Y106" i="31" s="1"/>
  <c r="Z105" i="31"/>
  <c r="AA105" i="31" s="1"/>
  <c r="X105" i="31"/>
  <c r="Y105" i="31" s="1"/>
  <c r="Z104" i="31"/>
  <c r="AA104" i="31" s="1"/>
  <c r="X104" i="31"/>
  <c r="Y104" i="31" s="1"/>
  <c r="Z103" i="31"/>
  <c r="AA103" i="31" s="1"/>
  <c r="X103" i="31"/>
  <c r="Y103" i="31" s="1"/>
  <c r="Z102" i="31"/>
  <c r="AA102" i="31" s="1"/>
  <c r="X102" i="31"/>
  <c r="Y102" i="31" s="1"/>
  <c r="AB102" i="31" s="1"/>
  <c r="Z101" i="31"/>
  <c r="AA101" i="31" s="1"/>
  <c r="X101" i="31"/>
  <c r="Y101" i="31" s="1"/>
  <c r="Z100" i="31"/>
  <c r="AA100" i="31" s="1"/>
  <c r="X100" i="31"/>
  <c r="Y100" i="31" s="1"/>
  <c r="Z99" i="31"/>
  <c r="AA99" i="31" s="1"/>
  <c r="X99" i="31"/>
  <c r="Y99" i="31" s="1"/>
  <c r="Z98" i="31"/>
  <c r="AA98" i="31" s="1"/>
  <c r="X98" i="31"/>
  <c r="Y98" i="31" s="1"/>
  <c r="Z97" i="31"/>
  <c r="AA97" i="31" s="1"/>
  <c r="X97" i="31"/>
  <c r="Y97" i="31" s="1"/>
  <c r="Z96" i="31"/>
  <c r="AA96" i="31" s="1"/>
  <c r="X96" i="31"/>
  <c r="Y96" i="31" s="1"/>
  <c r="AB96" i="31" s="1"/>
  <c r="Z95" i="31"/>
  <c r="AA95" i="31" s="1"/>
  <c r="X95" i="31"/>
  <c r="Y95" i="31" s="1"/>
  <c r="Z94" i="31"/>
  <c r="AA94" i="31" s="1"/>
  <c r="X94" i="31"/>
  <c r="Y94" i="31" s="1"/>
  <c r="Z93" i="31"/>
  <c r="AA93" i="31" s="1"/>
  <c r="X93" i="31"/>
  <c r="Y93" i="31" s="1"/>
  <c r="Z92" i="31"/>
  <c r="AA92" i="31" s="1"/>
  <c r="X92" i="31"/>
  <c r="Y92" i="31" s="1"/>
  <c r="Z91" i="31"/>
  <c r="AA91" i="31" s="1"/>
  <c r="X91" i="31"/>
  <c r="Y91" i="31" s="1"/>
  <c r="Z90" i="31"/>
  <c r="AA90" i="31" s="1"/>
  <c r="X90" i="31"/>
  <c r="Y90" i="31" s="1"/>
  <c r="Z89" i="31"/>
  <c r="AA89" i="31" s="1"/>
  <c r="X89" i="31"/>
  <c r="Y89" i="31" s="1"/>
  <c r="Z88" i="31"/>
  <c r="AA88" i="31" s="1"/>
  <c r="X88" i="31"/>
  <c r="Y88" i="31" s="1"/>
  <c r="Z87" i="31"/>
  <c r="AA87" i="31" s="1"/>
  <c r="X87" i="31"/>
  <c r="Y87" i="31" s="1"/>
  <c r="Z86" i="31"/>
  <c r="AA86" i="31" s="1"/>
  <c r="X86" i="31"/>
  <c r="Y86" i="31" s="1"/>
  <c r="AB86" i="31" s="1"/>
  <c r="Z85" i="31"/>
  <c r="AA85" i="31" s="1"/>
  <c r="X85" i="31"/>
  <c r="Y85" i="31" s="1"/>
  <c r="Z84" i="31"/>
  <c r="AA84" i="31" s="1"/>
  <c r="X84" i="31"/>
  <c r="Y84" i="31" s="1"/>
  <c r="Z83" i="31"/>
  <c r="AA83" i="31" s="1"/>
  <c r="X83" i="31"/>
  <c r="Y83" i="31" s="1"/>
  <c r="AB83" i="31" s="1"/>
  <c r="Z82" i="31"/>
  <c r="AA82" i="31" s="1"/>
  <c r="X82" i="31"/>
  <c r="Y82" i="31" s="1"/>
  <c r="Z81" i="31"/>
  <c r="AA81" i="31" s="1"/>
  <c r="X81" i="31"/>
  <c r="Y81" i="31" s="1"/>
  <c r="Z80" i="31"/>
  <c r="AA80" i="31" s="1"/>
  <c r="X80" i="31"/>
  <c r="Y80" i="31" s="1"/>
  <c r="AB80" i="31" s="1"/>
  <c r="Z79" i="31"/>
  <c r="AA79" i="31" s="1"/>
  <c r="X79" i="31"/>
  <c r="Y79" i="31" s="1"/>
  <c r="Z78" i="31"/>
  <c r="AA78" i="31" s="1"/>
  <c r="X78" i="31"/>
  <c r="Y78" i="31" s="1"/>
  <c r="Z77" i="31"/>
  <c r="AA77" i="31" s="1"/>
  <c r="X77" i="31"/>
  <c r="Y77" i="31" s="1"/>
  <c r="Z76" i="31"/>
  <c r="AA76" i="31" s="1"/>
  <c r="X76" i="31"/>
  <c r="Y76" i="31" s="1"/>
  <c r="Z75" i="31"/>
  <c r="AA75" i="31" s="1"/>
  <c r="X75" i="31"/>
  <c r="Y75" i="31" s="1"/>
  <c r="Z74" i="31"/>
  <c r="AA74" i="31" s="1"/>
  <c r="X74" i="31"/>
  <c r="Y74" i="31" s="1"/>
  <c r="Z73" i="31"/>
  <c r="AA73" i="31" s="1"/>
  <c r="X73" i="31"/>
  <c r="Y73" i="31" s="1"/>
  <c r="Z72" i="31"/>
  <c r="AA72" i="31" s="1"/>
  <c r="X72" i="31"/>
  <c r="Y72" i="31" s="1"/>
  <c r="Z71" i="31"/>
  <c r="AA71" i="31" s="1"/>
  <c r="X71" i="31"/>
  <c r="Y71" i="31" s="1"/>
  <c r="Z70" i="31"/>
  <c r="AA70" i="31" s="1"/>
  <c r="X70" i="31"/>
  <c r="Y70" i="31" s="1"/>
  <c r="AB70" i="31" s="1"/>
  <c r="Z69" i="31"/>
  <c r="AA69" i="31" s="1"/>
  <c r="X69" i="31"/>
  <c r="Y69" i="31" s="1"/>
  <c r="Z68" i="31"/>
  <c r="AA68" i="31" s="1"/>
  <c r="X68" i="31"/>
  <c r="Y68" i="31" s="1"/>
  <c r="Z67" i="31"/>
  <c r="AA67" i="31" s="1"/>
  <c r="X67" i="31"/>
  <c r="Y67" i="31" s="1"/>
  <c r="Z66" i="31"/>
  <c r="AA66" i="31" s="1"/>
  <c r="X66" i="31"/>
  <c r="Y66" i="31" s="1"/>
  <c r="Z65" i="31"/>
  <c r="AA65" i="31" s="1"/>
  <c r="X65" i="31"/>
  <c r="Y65" i="31" s="1"/>
  <c r="Z64" i="31"/>
  <c r="AA64" i="31" s="1"/>
  <c r="X64" i="31"/>
  <c r="Y64" i="31" s="1"/>
  <c r="Z63" i="31"/>
  <c r="AA63" i="31" s="1"/>
  <c r="X63" i="31"/>
  <c r="Y63" i="31" s="1"/>
  <c r="Z62" i="31"/>
  <c r="AA62" i="31" s="1"/>
  <c r="X62" i="31"/>
  <c r="Y62" i="31" s="1"/>
  <c r="Z61" i="31"/>
  <c r="AA61" i="31" s="1"/>
  <c r="X61" i="31"/>
  <c r="Y61" i="31" s="1"/>
  <c r="Z60" i="31"/>
  <c r="AA60" i="31" s="1"/>
  <c r="X60" i="31"/>
  <c r="Y60" i="31" s="1"/>
  <c r="Z59" i="31"/>
  <c r="AA59" i="31" s="1"/>
  <c r="X59" i="31"/>
  <c r="Y59" i="31" s="1"/>
  <c r="Z58" i="31"/>
  <c r="AA58" i="31" s="1"/>
  <c r="X58" i="31"/>
  <c r="Y58" i="31" s="1"/>
  <c r="Z57" i="31"/>
  <c r="AA57" i="31" s="1"/>
  <c r="X57" i="31"/>
  <c r="Y57" i="31" s="1"/>
  <c r="Z56" i="31"/>
  <c r="AA56" i="31" s="1"/>
  <c r="X56" i="31"/>
  <c r="Y56" i="31" s="1"/>
  <c r="Z55" i="31"/>
  <c r="AA55" i="31" s="1"/>
  <c r="X55" i="31"/>
  <c r="Y55" i="31" s="1"/>
  <c r="Z54" i="31"/>
  <c r="AA54" i="31" s="1"/>
  <c r="X54" i="31"/>
  <c r="Y54" i="31" s="1"/>
  <c r="Z53" i="31"/>
  <c r="AA53" i="31" s="1"/>
  <c r="X53" i="31"/>
  <c r="Y53" i="31" s="1"/>
  <c r="Z52" i="31"/>
  <c r="AA52" i="31" s="1"/>
  <c r="X52" i="31"/>
  <c r="Y52" i="31" s="1"/>
  <c r="Z51" i="31"/>
  <c r="AA51" i="31" s="1"/>
  <c r="X51" i="31"/>
  <c r="Y51" i="31" s="1"/>
  <c r="Z50" i="31"/>
  <c r="AA50" i="31" s="1"/>
  <c r="X50" i="31"/>
  <c r="Y50" i="31" s="1"/>
  <c r="Z49" i="31"/>
  <c r="AA49" i="31" s="1"/>
  <c r="X49" i="31"/>
  <c r="Y49" i="31" s="1"/>
  <c r="Z48" i="31"/>
  <c r="AA48" i="31" s="1"/>
  <c r="X48" i="31"/>
  <c r="Y48" i="31" s="1"/>
  <c r="Z47" i="31"/>
  <c r="AA47" i="31" s="1"/>
  <c r="X47" i="31"/>
  <c r="Y47" i="31" s="1"/>
  <c r="Z46" i="31"/>
  <c r="AA46" i="31" s="1"/>
  <c r="X46" i="31"/>
  <c r="Y46" i="31" s="1"/>
  <c r="AB46" i="31" s="1"/>
  <c r="Z45" i="31"/>
  <c r="AA45" i="31" s="1"/>
  <c r="X45" i="31"/>
  <c r="Y45" i="31" s="1"/>
  <c r="Z44" i="31"/>
  <c r="AA44" i="31" s="1"/>
  <c r="X44" i="31"/>
  <c r="Y44" i="31" s="1"/>
  <c r="Z43" i="31"/>
  <c r="AA43" i="31" s="1"/>
  <c r="X43" i="31"/>
  <c r="Y43" i="31" s="1"/>
  <c r="Z42" i="31"/>
  <c r="AA42" i="31" s="1"/>
  <c r="X42" i="31"/>
  <c r="Y42" i="31" s="1"/>
  <c r="Z41" i="31"/>
  <c r="AA41" i="31" s="1"/>
  <c r="X41" i="31"/>
  <c r="Y41" i="31" s="1"/>
  <c r="Z40" i="31"/>
  <c r="AA40" i="31" s="1"/>
  <c r="X40" i="31"/>
  <c r="Y40" i="31" s="1"/>
  <c r="Z39" i="31"/>
  <c r="AA39" i="31" s="1"/>
  <c r="X39" i="31"/>
  <c r="Y39" i="31" s="1"/>
  <c r="Z38" i="31"/>
  <c r="AA38" i="31" s="1"/>
  <c r="X38" i="31"/>
  <c r="Y38" i="31" s="1"/>
  <c r="Z37" i="31"/>
  <c r="AA37" i="31" s="1"/>
  <c r="X37" i="31"/>
  <c r="Y37" i="31" s="1"/>
  <c r="Z36" i="31"/>
  <c r="AA36" i="31" s="1"/>
  <c r="X36" i="31"/>
  <c r="Y36" i="31" s="1"/>
  <c r="Z35" i="31"/>
  <c r="AA35" i="31" s="1"/>
  <c r="X35" i="31"/>
  <c r="Y35" i="31" s="1"/>
  <c r="Z34" i="31"/>
  <c r="AA34" i="31" s="1"/>
  <c r="X34" i="31"/>
  <c r="Y34" i="31" s="1"/>
  <c r="Z33" i="31"/>
  <c r="AA33" i="31" s="1"/>
  <c r="X33" i="31"/>
  <c r="Y33" i="31" s="1"/>
  <c r="Z32" i="31"/>
  <c r="AA32" i="31" s="1"/>
  <c r="X32" i="31"/>
  <c r="Y32" i="31" s="1"/>
  <c r="Z31" i="31"/>
  <c r="AA31" i="31" s="1"/>
  <c r="X31" i="31"/>
  <c r="Y31" i="31" s="1"/>
  <c r="Z30" i="31"/>
  <c r="AA30" i="31" s="1"/>
  <c r="X30" i="31"/>
  <c r="Y30" i="31" s="1"/>
  <c r="Z29" i="31"/>
  <c r="AA29" i="31" s="1"/>
  <c r="X29" i="31"/>
  <c r="Y29" i="31" s="1"/>
  <c r="Z28" i="31"/>
  <c r="AA28" i="31" s="1"/>
  <c r="X28" i="31"/>
  <c r="Y28" i="31" s="1"/>
  <c r="Z27" i="31"/>
  <c r="AA27" i="31" s="1"/>
  <c r="X27" i="31"/>
  <c r="Y27" i="31" s="1"/>
  <c r="Z26" i="31"/>
  <c r="AA26" i="31" s="1"/>
  <c r="X26" i="31"/>
  <c r="Y26" i="31" s="1"/>
  <c r="Z25" i="31"/>
  <c r="AA25" i="31" s="1"/>
  <c r="X25" i="31"/>
  <c r="Y25" i="31" s="1"/>
  <c r="Z24" i="31"/>
  <c r="AA24" i="31" s="1"/>
  <c r="X24" i="31"/>
  <c r="Y24" i="31" s="1"/>
  <c r="Z23" i="31"/>
  <c r="AA23" i="31" s="1"/>
  <c r="X23" i="31"/>
  <c r="Y23" i="31" s="1"/>
  <c r="Z22" i="31"/>
  <c r="AA22" i="31" s="1"/>
  <c r="X22" i="31"/>
  <c r="Y22" i="31" s="1"/>
  <c r="Z21" i="31"/>
  <c r="AA21" i="31" s="1"/>
  <c r="X21" i="31"/>
  <c r="Y21" i="31" s="1"/>
  <c r="Z20" i="31"/>
  <c r="AA20" i="31" s="1"/>
  <c r="X20" i="31"/>
  <c r="Y20" i="31" s="1"/>
  <c r="Z19" i="31"/>
  <c r="AA19" i="31" s="1"/>
  <c r="X19" i="31"/>
  <c r="Y19" i="31" s="1"/>
  <c r="Z18" i="31"/>
  <c r="AA18" i="31" s="1"/>
  <c r="X18" i="31"/>
  <c r="Y18" i="31" s="1"/>
  <c r="Z17" i="31"/>
  <c r="AA17" i="31" s="1"/>
  <c r="X17" i="31"/>
  <c r="Y17" i="31" s="1"/>
  <c r="Z16" i="31"/>
  <c r="AA16" i="31" s="1"/>
  <c r="X16" i="31"/>
  <c r="Y16" i="31" s="1"/>
  <c r="Z15" i="31"/>
  <c r="AA15" i="31" s="1"/>
  <c r="X15" i="31"/>
  <c r="Y15" i="31" s="1"/>
  <c r="Z14" i="31"/>
  <c r="AA14" i="31" s="1"/>
  <c r="X14" i="31"/>
  <c r="Y14" i="31" s="1"/>
  <c r="D2" i="19"/>
  <c r="B2" i="19"/>
  <c r="AB81" i="31" l="1"/>
  <c r="AB50" i="31"/>
  <c r="AB17" i="31"/>
  <c r="AB19" i="31"/>
  <c r="AB25" i="31"/>
  <c r="AB37" i="31"/>
  <c r="AB44" i="31"/>
  <c r="AB92" i="31"/>
  <c r="AB74" i="31"/>
  <c r="AB18" i="31"/>
  <c r="AB28" i="31"/>
  <c r="AB30" i="31"/>
  <c r="AB34" i="31"/>
  <c r="AB36" i="31"/>
  <c r="AB42" i="31"/>
  <c r="AB49" i="31"/>
  <c r="AB59" i="31"/>
  <c r="AB69" i="31"/>
  <c r="AB71" i="31"/>
  <c r="AB20" i="31"/>
  <c r="AB26" i="31"/>
  <c r="AB38" i="31"/>
  <c r="AB54" i="31"/>
  <c r="AB72" i="31"/>
  <c r="AB76" i="31"/>
  <c r="AB87" i="31"/>
  <c r="AB109" i="31"/>
  <c r="AB21" i="31"/>
  <c r="AB27" i="31"/>
  <c r="AB33" i="31"/>
  <c r="AB61" i="31"/>
  <c r="AB110" i="31"/>
  <c r="AB94" i="31"/>
  <c r="AB52" i="31"/>
  <c r="AB84" i="31"/>
  <c r="AB48" i="31"/>
  <c r="AB60" i="31"/>
  <c r="AB68" i="31"/>
  <c r="AB98" i="31"/>
  <c r="AB15" i="31"/>
  <c r="AB24" i="31"/>
  <c r="AB40" i="31"/>
  <c r="AB53" i="31"/>
  <c r="AB58" i="31"/>
  <c r="AB64" i="31"/>
  <c r="AB66" i="31"/>
  <c r="AB100" i="31"/>
  <c r="AB108" i="31"/>
  <c r="AB82" i="31"/>
  <c r="AB90" i="31"/>
  <c r="AB16" i="31"/>
  <c r="AB23" i="31"/>
  <c r="AB32" i="31"/>
  <c r="AB39" i="31"/>
  <c r="AB45" i="31"/>
  <c r="AB55" i="31"/>
  <c r="AB57" i="31"/>
  <c r="AB63" i="31"/>
  <c r="AB65" i="31"/>
  <c r="AB77" i="31"/>
  <c r="AB85" i="31"/>
  <c r="AB93" i="31"/>
  <c r="AB99" i="31"/>
  <c r="AB105" i="31"/>
  <c r="AB107" i="31"/>
  <c r="AB112" i="31"/>
  <c r="AB114" i="31"/>
  <c r="AB14" i="31"/>
  <c r="AB95" i="31"/>
  <c r="AB104" i="31"/>
  <c r="AB111" i="31"/>
  <c r="AB22" i="31"/>
  <c r="AB31" i="31"/>
  <c r="AB43" i="31"/>
  <c r="AB56" i="31"/>
  <c r="AB62" i="31"/>
  <c r="AB75" i="31"/>
  <c r="AB91" i="31"/>
  <c r="AB106" i="31"/>
  <c r="AB113" i="31"/>
  <c r="AB78" i="31"/>
  <c r="AB88" i="31"/>
  <c r="AB97" i="31"/>
  <c r="AB103" i="31"/>
  <c r="AB29" i="31"/>
  <c r="AB35" i="31"/>
  <c r="AB41" i="31"/>
  <c r="AB47" i="31"/>
  <c r="AB51" i="31"/>
  <c r="AB67" i="31"/>
  <c r="AB73" i="31"/>
  <c r="AB79" i="31"/>
  <c r="AB89" i="31"/>
  <c r="AB101" i="31"/>
  <c r="R113" i="31"/>
  <c r="P113" i="31"/>
  <c r="O113" i="31"/>
  <c r="I113" i="31"/>
  <c r="J113" i="31" s="1"/>
  <c r="R112" i="31"/>
  <c r="P112" i="31"/>
  <c r="O112" i="31"/>
  <c r="I112" i="31"/>
  <c r="K112" i="31" s="1"/>
  <c r="R111" i="31"/>
  <c r="P111" i="31"/>
  <c r="O111" i="31"/>
  <c r="I111" i="31"/>
  <c r="J111" i="31" s="1"/>
  <c r="R110" i="31"/>
  <c r="P110" i="31"/>
  <c r="O110" i="31"/>
  <c r="I110" i="31"/>
  <c r="K110" i="31" s="1"/>
  <c r="R109" i="31"/>
  <c r="P109" i="31"/>
  <c r="O109" i="31"/>
  <c r="I109" i="31"/>
  <c r="J109" i="31" s="1"/>
  <c r="R108" i="31"/>
  <c r="P108" i="31"/>
  <c r="O108" i="31"/>
  <c r="I108" i="31"/>
  <c r="K108" i="31" s="1"/>
  <c r="R107" i="31"/>
  <c r="P107" i="31"/>
  <c r="O107" i="31"/>
  <c r="I107" i="31"/>
  <c r="J107" i="31" s="1"/>
  <c r="R106" i="31"/>
  <c r="P106" i="31"/>
  <c r="O106" i="31"/>
  <c r="I106" i="31"/>
  <c r="K106" i="31" s="1"/>
  <c r="R105" i="31"/>
  <c r="P105" i="31"/>
  <c r="O105" i="31"/>
  <c r="I105" i="31"/>
  <c r="R104" i="31"/>
  <c r="P104" i="31"/>
  <c r="O104" i="31"/>
  <c r="I104" i="31"/>
  <c r="K104" i="31" s="1"/>
  <c r="R103" i="31"/>
  <c r="P103" i="31"/>
  <c r="O103" i="31"/>
  <c r="I103" i="31"/>
  <c r="R102" i="31"/>
  <c r="P102" i="31"/>
  <c r="O102" i="31"/>
  <c r="I102" i="31"/>
  <c r="J102" i="31" s="1"/>
  <c r="R101" i="31"/>
  <c r="P101" i="31"/>
  <c r="O101" i="31"/>
  <c r="I101" i="31"/>
  <c r="R100" i="31"/>
  <c r="P100" i="31"/>
  <c r="O100" i="31"/>
  <c r="I100" i="31"/>
  <c r="J100" i="31" s="1"/>
  <c r="R99" i="31"/>
  <c r="P99" i="31"/>
  <c r="O99" i="31"/>
  <c r="I99" i="31"/>
  <c r="R98" i="31"/>
  <c r="P98" i="31"/>
  <c r="O98" i="31"/>
  <c r="I98" i="31"/>
  <c r="J98" i="31" s="1"/>
  <c r="R97" i="31"/>
  <c r="P97" i="31"/>
  <c r="O97" i="31"/>
  <c r="I97" i="31"/>
  <c r="R96" i="31"/>
  <c r="P96" i="31"/>
  <c r="O96" i="31"/>
  <c r="I96" i="31"/>
  <c r="J96" i="31" s="1"/>
  <c r="R95" i="31"/>
  <c r="P95" i="31"/>
  <c r="O95" i="31"/>
  <c r="I95" i="31"/>
  <c r="R94" i="31"/>
  <c r="P94" i="31"/>
  <c r="O94" i="31"/>
  <c r="I94" i="31"/>
  <c r="J94" i="31" s="1"/>
  <c r="R93" i="31"/>
  <c r="P93" i="31"/>
  <c r="O93" i="31"/>
  <c r="I93" i="31"/>
  <c r="R92" i="31"/>
  <c r="P92" i="31"/>
  <c r="O92" i="31"/>
  <c r="I92" i="31"/>
  <c r="J92" i="31" s="1"/>
  <c r="R91" i="31"/>
  <c r="P91" i="31"/>
  <c r="O91" i="31"/>
  <c r="I91" i="31"/>
  <c r="R90" i="31"/>
  <c r="P90" i="31"/>
  <c r="O90" i="31"/>
  <c r="I90" i="31"/>
  <c r="K90" i="31" s="1"/>
  <c r="R89" i="31"/>
  <c r="P89" i="31"/>
  <c r="O89" i="31"/>
  <c r="I89" i="31"/>
  <c r="R88" i="31"/>
  <c r="P88" i="31"/>
  <c r="O88" i="31"/>
  <c r="I88" i="31"/>
  <c r="K88" i="31" s="1"/>
  <c r="R87" i="31"/>
  <c r="P87" i="31"/>
  <c r="O87" i="31"/>
  <c r="I87" i="31"/>
  <c r="R86" i="31"/>
  <c r="P86" i="31"/>
  <c r="O86" i="31"/>
  <c r="I86" i="31"/>
  <c r="K86" i="31" s="1"/>
  <c r="R85" i="31"/>
  <c r="P85" i="31"/>
  <c r="O85" i="31"/>
  <c r="I85" i="31"/>
  <c r="R84" i="31"/>
  <c r="P84" i="31"/>
  <c r="O84" i="31"/>
  <c r="I84" i="31"/>
  <c r="J84" i="31" s="1"/>
  <c r="R83" i="31"/>
  <c r="P83" i="31"/>
  <c r="O83" i="31"/>
  <c r="I83" i="31"/>
  <c r="R82" i="31"/>
  <c r="P82" i="31"/>
  <c r="O82" i="31"/>
  <c r="I82" i="31"/>
  <c r="J82" i="31" s="1"/>
  <c r="R81" i="31"/>
  <c r="P81" i="31"/>
  <c r="O81" i="31"/>
  <c r="I81" i="31"/>
  <c r="R80" i="31"/>
  <c r="P80" i="31"/>
  <c r="O80" i="31"/>
  <c r="I80" i="31"/>
  <c r="K80" i="31" s="1"/>
  <c r="R79" i="31"/>
  <c r="P79" i="31"/>
  <c r="O79" i="31"/>
  <c r="I79" i="31"/>
  <c r="R78" i="31"/>
  <c r="P78" i="31"/>
  <c r="O78" i="31"/>
  <c r="I78" i="31"/>
  <c r="K78" i="31" s="1"/>
  <c r="R77" i="31"/>
  <c r="P77" i="31"/>
  <c r="O77" i="31"/>
  <c r="I77" i="31"/>
  <c r="R76" i="31"/>
  <c r="P76" i="31"/>
  <c r="O76" i="31"/>
  <c r="I76" i="31"/>
  <c r="K76" i="31" s="1"/>
  <c r="R75" i="31"/>
  <c r="P75" i="31"/>
  <c r="O75" i="31"/>
  <c r="I75" i="31"/>
  <c r="R74" i="31"/>
  <c r="P74" i="31"/>
  <c r="O74" i="31"/>
  <c r="I74" i="31"/>
  <c r="K74" i="31" s="1"/>
  <c r="R73" i="31"/>
  <c r="P73" i="31"/>
  <c r="O73" i="31"/>
  <c r="I73" i="31"/>
  <c r="R72" i="31"/>
  <c r="P72" i="31"/>
  <c r="O72" i="31"/>
  <c r="I72" i="31"/>
  <c r="K72" i="31" s="1"/>
  <c r="R71" i="31"/>
  <c r="P71" i="31"/>
  <c r="O71" i="31"/>
  <c r="I71" i="31"/>
  <c r="R70" i="31"/>
  <c r="P70" i="31"/>
  <c r="O70" i="31"/>
  <c r="I70" i="31"/>
  <c r="K70" i="31" s="1"/>
  <c r="R69" i="31"/>
  <c r="P69" i="31"/>
  <c r="O69" i="31"/>
  <c r="I69" i="31"/>
  <c r="R68" i="31"/>
  <c r="P68" i="31"/>
  <c r="O68" i="31"/>
  <c r="I68" i="31"/>
  <c r="K68" i="31" s="1"/>
  <c r="R67" i="31"/>
  <c r="P67" i="31"/>
  <c r="O67" i="31"/>
  <c r="I67" i="31"/>
  <c r="R66" i="31"/>
  <c r="P66" i="31"/>
  <c r="O66" i="31"/>
  <c r="I66" i="31"/>
  <c r="K66" i="31" s="1"/>
  <c r="R65" i="31"/>
  <c r="P65" i="31"/>
  <c r="O65" i="31"/>
  <c r="I65" i="31"/>
  <c r="R64" i="31"/>
  <c r="P64" i="31"/>
  <c r="O64" i="31"/>
  <c r="I64" i="31"/>
  <c r="K64" i="31" s="1"/>
  <c r="R63" i="31"/>
  <c r="P63" i="31"/>
  <c r="O63" i="31"/>
  <c r="I63" i="31"/>
  <c r="R62" i="31"/>
  <c r="P62" i="31"/>
  <c r="O62" i="31"/>
  <c r="I62" i="31"/>
  <c r="K62" i="31" s="1"/>
  <c r="R61" i="31"/>
  <c r="P61" i="31"/>
  <c r="O61" i="31"/>
  <c r="I61" i="31"/>
  <c r="R60" i="31"/>
  <c r="P60" i="31"/>
  <c r="O60" i="31"/>
  <c r="I60" i="31"/>
  <c r="K60" i="31" s="1"/>
  <c r="R59" i="31"/>
  <c r="P59" i="31"/>
  <c r="O59" i="31"/>
  <c r="I59" i="31"/>
  <c r="R58" i="31"/>
  <c r="P58" i="31"/>
  <c r="O58" i="31"/>
  <c r="I58" i="31"/>
  <c r="J58" i="31" s="1"/>
  <c r="R57" i="31"/>
  <c r="P57" i="31"/>
  <c r="O57" i="31"/>
  <c r="I57" i="31"/>
  <c r="R56" i="31"/>
  <c r="P56" i="31"/>
  <c r="O56" i="31"/>
  <c r="I56" i="31"/>
  <c r="J56" i="31" s="1"/>
  <c r="R55" i="31"/>
  <c r="P55" i="31"/>
  <c r="O55" i="31"/>
  <c r="I55" i="31"/>
  <c r="R54" i="31"/>
  <c r="P54" i="31"/>
  <c r="O54" i="31"/>
  <c r="I54" i="31"/>
  <c r="J54" i="31" s="1"/>
  <c r="R53" i="31"/>
  <c r="P53" i="31"/>
  <c r="O53" i="31"/>
  <c r="I53" i="31"/>
  <c r="R52" i="31"/>
  <c r="P52" i="31"/>
  <c r="O52" i="31"/>
  <c r="I52" i="31"/>
  <c r="J52" i="31" s="1"/>
  <c r="R51" i="31"/>
  <c r="P51" i="31"/>
  <c r="O51" i="31"/>
  <c r="I51" i="31"/>
  <c r="R50" i="31"/>
  <c r="P50" i="31"/>
  <c r="O50" i="31"/>
  <c r="I50" i="31"/>
  <c r="K50" i="31" s="1"/>
  <c r="R49" i="31"/>
  <c r="P49" i="31"/>
  <c r="O49" i="31"/>
  <c r="I49" i="31"/>
  <c r="R48" i="31"/>
  <c r="P48" i="31"/>
  <c r="O48" i="31"/>
  <c r="I48" i="31"/>
  <c r="K48" i="31" s="1"/>
  <c r="R47" i="31"/>
  <c r="P47" i="31"/>
  <c r="O47" i="31"/>
  <c r="I47" i="31"/>
  <c r="R46" i="31"/>
  <c r="P46" i="31"/>
  <c r="O46" i="31"/>
  <c r="I46" i="31"/>
  <c r="K46" i="31" s="1"/>
  <c r="R45" i="31"/>
  <c r="P45" i="31"/>
  <c r="O45" i="31"/>
  <c r="I45" i="31"/>
  <c r="R44" i="31"/>
  <c r="P44" i="31"/>
  <c r="O44" i="31"/>
  <c r="I44" i="31"/>
  <c r="K44" i="31" s="1"/>
  <c r="R43" i="31"/>
  <c r="P43" i="31"/>
  <c r="O43" i="31"/>
  <c r="I43" i="31"/>
  <c r="R114" i="31"/>
  <c r="P114" i="31"/>
  <c r="O114" i="31"/>
  <c r="I114" i="31"/>
  <c r="R42" i="31"/>
  <c r="P42" i="31"/>
  <c r="O42" i="31"/>
  <c r="I42" i="31"/>
  <c r="J42" i="31" s="1"/>
  <c r="R41" i="31"/>
  <c r="P41" i="31"/>
  <c r="O41" i="31"/>
  <c r="I41" i="31"/>
  <c r="J41" i="31" s="1"/>
  <c r="R40" i="31"/>
  <c r="P40" i="31"/>
  <c r="O40" i="31"/>
  <c r="I40" i="31"/>
  <c r="K40" i="31" s="1"/>
  <c r="R39" i="31"/>
  <c r="P39" i="31"/>
  <c r="O39" i="31"/>
  <c r="I39" i="31"/>
  <c r="J39" i="31" s="1"/>
  <c r="R38" i="31"/>
  <c r="P38" i="31"/>
  <c r="O38" i="31"/>
  <c r="I38" i="31"/>
  <c r="K38" i="31" s="1"/>
  <c r="R37" i="31"/>
  <c r="P37" i="31"/>
  <c r="O37" i="31"/>
  <c r="I37" i="31"/>
  <c r="R36" i="31"/>
  <c r="P36" i="31"/>
  <c r="O36" i="31"/>
  <c r="I36" i="31"/>
  <c r="K36" i="31" s="1"/>
  <c r="R35" i="31"/>
  <c r="P35" i="31"/>
  <c r="O35" i="31"/>
  <c r="I35" i="31"/>
  <c r="R34" i="31"/>
  <c r="P34" i="31"/>
  <c r="O34" i="31"/>
  <c r="I34" i="31"/>
  <c r="K34" i="31" s="1"/>
  <c r="R33" i="31"/>
  <c r="P33" i="31"/>
  <c r="O33" i="31"/>
  <c r="I33" i="31"/>
  <c r="J33" i="31" s="1"/>
  <c r="R32" i="31"/>
  <c r="P32" i="31"/>
  <c r="O32" i="31"/>
  <c r="I32" i="31"/>
  <c r="K32" i="31" s="1"/>
  <c r="R31" i="31"/>
  <c r="P31" i="31"/>
  <c r="O31" i="31"/>
  <c r="I31" i="31"/>
  <c r="K31" i="31" s="1"/>
  <c r="R30" i="31"/>
  <c r="P30" i="31"/>
  <c r="O30" i="31"/>
  <c r="I30" i="31"/>
  <c r="K30" i="31" s="1"/>
  <c r="R29" i="31"/>
  <c r="P29" i="31"/>
  <c r="O29" i="31"/>
  <c r="I29" i="31"/>
  <c r="R28" i="31"/>
  <c r="P28" i="31"/>
  <c r="O28" i="31"/>
  <c r="I28" i="31"/>
  <c r="K28" i="31" s="1"/>
  <c r="R27" i="31"/>
  <c r="P27" i="31"/>
  <c r="O27" i="31"/>
  <c r="I27" i="31"/>
  <c r="K27" i="31" s="1"/>
  <c r="R26" i="31"/>
  <c r="P26" i="31"/>
  <c r="O26" i="31"/>
  <c r="I26" i="31"/>
  <c r="K26" i="31" s="1"/>
  <c r="R25" i="31"/>
  <c r="P25" i="31"/>
  <c r="O25" i="31"/>
  <c r="I25" i="31"/>
  <c r="J25" i="31" s="1"/>
  <c r="R24" i="31"/>
  <c r="P24" i="31"/>
  <c r="O24" i="31"/>
  <c r="I24" i="31"/>
  <c r="K24" i="31" s="1"/>
  <c r="R23" i="31"/>
  <c r="P23" i="31"/>
  <c r="O23" i="31"/>
  <c r="I23" i="31"/>
  <c r="K23" i="31" s="1"/>
  <c r="R22" i="31"/>
  <c r="P22" i="31"/>
  <c r="O22" i="31"/>
  <c r="I22" i="31"/>
  <c r="K22" i="31" s="1"/>
  <c r="R21" i="31"/>
  <c r="P21" i="31"/>
  <c r="O21" i="31"/>
  <c r="I21" i="31"/>
  <c r="R20" i="31"/>
  <c r="P20" i="31"/>
  <c r="O20" i="31"/>
  <c r="I20" i="31"/>
  <c r="K20" i="31" s="1"/>
  <c r="R19" i="31"/>
  <c r="P19" i="31"/>
  <c r="O19" i="31"/>
  <c r="I19" i="31"/>
  <c r="K19" i="31" s="1"/>
  <c r="R18" i="31"/>
  <c r="P18" i="31"/>
  <c r="O18" i="31"/>
  <c r="I18" i="31"/>
  <c r="K18" i="31" s="1"/>
  <c r="R17" i="31"/>
  <c r="P17" i="31"/>
  <c r="O17" i="31"/>
  <c r="I17" i="31"/>
  <c r="J17" i="31" s="1"/>
  <c r="R16" i="31"/>
  <c r="P16" i="31"/>
  <c r="O16" i="31"/>
  <c r="I16" i="31"/>
  <c r="K16" i="31" s="1"/>
  <c r="P15" i="31"/>
  <c r="O15" i="31"/>
  <c r="I15" i="31"/>
  <c r="K15" i="31" s="1"/>
  <c r="AB118" i="31" l="1"/>
  <c r="K39" i="31"/>
  <c r="K107" i="31"/>
  <c r="J31" i="31"/>
  <c r="K111" i="31"/>
  <c r="J34" i="31"/>
  <c r="K42" i="31"/>
  <c r="K113" i="31"/>
  <c r="J26" i="31"/>
  <c r="K109" i="31"/>
  <c r="J108" i="31"/>
  <c r="J110" i="31"/>
  <c r="J112" i="31"/>
  <c r="K102" i="31"/>
  <c r="K56" i="31"/>
  <c r="K84" i="31"/>
  <c r="K100" i="31"/>
  <c r="K94" i="31"/>
  <c r="J106" i="31"/>
  <c r="K54" i="31"/>
  <c r="K98" i="31"/>
  <c r="J104" i="31"/>
  <c r="K92" i="31"/>
  <c r="K58" i="31"/>
  <c r="K52" i="31"/>
  <c r="K82" i="31"/>
  <c r="K96" i="31"/>
  <c r="J43" i="31"/>
  <c r="J45" i="31"/>
  <c r="J47" i="31"/>
  <c r="J49" i="31"/>
  <c r="J51" i="31"/>
  <c r="J53" i="31"/>
  <c r="J55" i="31"/>
  <c r="J57" i="31"/>
  <c r="J59" i="31"/>
  <c r="J61" i="31"/>
  <c r="J63" i="31"/>
  <c r="J65" i="31"/>
  <c r="J67" i="31"/>
  <c r="J69" i="31"/>
  <c r="J71" i="31"/>
  <c r="J73" i="31"/>
  <c r="J75" i="31"/>
  <c r="J77" i="31"/>
  <c r="J79" i="31"/>
  <c r="J81" i="31"/>
  <c r="J83" i="31"/>
  <c r="J85" i="31"/>
  <c r="J87" i="31"/>
  <c r="J89" i="31"/>
  <c r="J91" i="31"/>
  <c r="J93" i="31"/>
  <c r="J95" i="31"/>
  <c r="J97" i="31"/>
  <c r="J99" i="31"/>
  <c r="J101" i="31"/>
  <c r="J103" i="31"/>
  <c r="J105" i="31"/>
  <c r="K43" i="31"/>
  <c r="K45" i="31"/>
  <c r="K47" i="31"/>
  <c r="K49" i="31"/>
  <c r="K51" i="31"/>
  <c r="K53" i="31"/>
  <c r="K55" i="31"/>
  <c r="K57" i="31"/>
  <c r="K59" i="31"/>
  <c r="K61" i="31"/>
  <c r="K63" i="31"/>
  <c r="K65" i="31"/>
  <c r="K67" i="31"/>
  <c r="K69" i="31"/>
  <c r="K71" i="31"/>
  <c r="K73" i="31"/>
  <c r="K75" i="31"/>
  <c r="K77" i="31"/>
  <c r="K79" i="31"/>
  <c r="K81" i="31"/>
  <c r="K83" i="31"/>
  <c r="K85" i="31"/>
  <c r="K87" i="31"/>
  <c r="K89" i="31"/>
  <c r="K91" i="31"/>
  <c r="K93" i="31"/>
  <c r="K95" i="31"/>
  <c r="K97" i="31"/>
  <c r="K99" i="31"/>
  <c r="K101" i="31"/>
  <c r="K103" i="31"/>
  <c r="K105" i="31"/>
  <c r="J44" i="31"/>
  <c r="J46" i="31"/>
  <c r="J48" i="31"/>
  <c r="J50" i="31"/>
  <c r="J60" i="31"/>
  <c r="J62" i="31"/>
  <c r="J64" i="31"/>
  <c r="J66" i="31"/>
  <c r="J68" i="31"/>
  <c r="J70" i="31"/>
  <c r="J72" i="31"/>
  <c r="J74" i="31"/>
  <c r="J76" i="31"/>
  <c r="J78" i="31"/>
  <c r="J80" i="31"/>
  <c r="J86" i="31"/>
  <c r="J88" i="31"/>
  <c r="J90" i="31"/>
  <c r="K17" i="31"/>
  <c r="J23" i="31"/>
  <c r="J36" i="31"/>
  <c r="K41" i="31"/>
  <c r="J18" i="31"/>
  <c r="J28" i="31"/>
  <c r="K33" i="31"/>
  <c r="K25" i="31"/>
  <c r="J20" i="31"/>
  <c r="J19" i="31"/>
  <c r="J27" i="31"/>
  <c r="J35" i="31"/>
  <c r="J114" i="31"/>
  <c r="K35" i="31"/>
  <c r="K114" i="31"/>
  <c r="J21" i="31"/>
  <c r="J29" i="31"/>
  <c r="J37" i="31"/>
  <c r="K21" i="31"/>
  <c r="J22" i="31"/>
  <c r="K29" i="31"/>
  <c r="J30" i="31"/>
  <c r="K37" i="31"/>
  <c r="J38" i="31"/>
  <c r="J16" i="31"/>
  <c r="J24" i="31"/>
  <c r="J32" i="31"/>
  <c r="J40" i="31"/>
  <c r="J15" i="31"/>
  <c r="B133" i="31"/>
  <c r="B132" i="31"/>
  <c r="B130" i="31"/>
  <c r="B124" i="31"/>
  <c r="B127" i="31" s="1"/>
  <c r="B128" i="31" s="1"/>
  <c r="C121" i="31"/>
  <c r="B134" i="31" l="1"/>
  <c r="B138" i="31" s="1"/>
  <c r="R15" i="31"/>
  <c r="B6" i="31"/>
  <c r="E46" i="29"/>
  <c r="D46" i="29"/>
  <c r="E44" i="29"/>
  <c r="D44" i="29"/>
  <c r="D49" i="29"/>
  <c r="E49" i="29"/>
  <c r="G151" i="1"/>
  <c r="F151" i="1"/>
  <c r="G150" i="1"/>
  <c r="F150" i="1"/>
  <c r="F139" i="1"/>
  <c r="G149" i="1"/>
  <c r="G138" i="1"/>
  <c r="F149" i="1"/>
  <c r="F138" i="1"/>
  <c r="G139" i="1"/>
  <c r="F40" i="29"/>
  <c r="F50" i="29"/>
  <c r="K35" i="29"/>
  <c r="E38" i="29" s="1"/>
  <c r="K34" i="29"/>
  <c r="D38"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20" i="29"/>
  <c r="K20" i="29" s="1"/>
  <c r="J19" i="29"/>
  <c r="K19" i="29" s="1"/>
  <c r="J18" i="29"/>
  <c r="K18" i="29" s="1"/>
  <c r="J17" i="29"/>
  <c r="K17" i="29" s="1"/>
  <c r="J16" i="29"/>
  <c r="K16" i="29" s="1"/>
  <c r="J15" i="29"/>
  <c r="K15" i="29" s="1"/>
  <c r="J14" i="29"/>
  <c r="K14" i="29" s="1"/>
  <c r="J13" i="29"/>
  <c r="K13" i="29" s="1"/>
  <c r="J12" i="29"/>
  <c r="K12" i="29" s="1"/>
  <c r="J11" i="29"/>
  <c r="K11" i="29" s="1"/>
  <c r="J10" i="29"/>
  <c r="K10" i="29" s="1"/>
  <c r="J9" i="29"/>
  <c r="K9" i="29" s="1"/>
  <c r="F13" i="21"/>
  <c r="E13" i="21"/>
  <c r="F17" i="16"/>
  <c r="F46" i="29" l="1"/>
  <c r="B7" i="31"/>
  <c r="B8" i="31" s="1"/>
  <c r="F44" i="29"/>
  <c r="F38" i="29"/>
  <c r="D51" i="29"/>
  <c r="D39" i="29" s="1"/>
  <c r="D42" i="29" s="1"/>
  <c r="D45" i="29" s="1"/>
  <c r="F49" i="29"/>
  <c r="E51" i="29"/>
  <c r="E39" i="29" s="1"/>
  <c r="E42" i="29" s="1"/>
  <c r="E45" i="29" s="1"/>
  <c r="E47" i="29" s="1"/>
  <c r="F17" i="21" s="1"/>
  <c r="F20" i="21"/>
  <c r="E20" i="21"/>
  <c r="F33" i="21"/>
  <c r="E33" i="21"/>
  <c r="P60" i="30"/>
  <c r="O60" i="30"/>
  <c r="N60" i="30"/>
  <c r="M60" i="30"/>
  <c r="L60" i="30"/>
  <c r="K60" i="30"/>
  <c r="J60" i="30"/>
  <c r="I60" i="30"/>
  <c r="H60" i="30"/>
  <c r="G60" i="30"/>
  <c r="F60" i="30"/>
  <c r="D60" i="30"/>
  <c r="Q58" i="30"/>
  <c r="Q57" i="30"/>
  <c r="Q56" i="30"/>
  <c r="Q55" i="30"/>
  <c r="Q54" i="30"/>
  <c r="Q53" i="30"/>
  <c r="Q52" i="30"/>
  <c r="Q51" i="30"/>
  <c r="Q50" i="30"/>
  <c r="Q49" i="30"/>
  <c r="Q48" i="30"/>
  <c r="Q47" i="30"/>
  <c r="Q46" i="30"/>
  <c r="Q45" i="30"/>
  <c r="Q44" i="30"/>
  <c r="Q43" i="30"/>
  <c r="Q42" i="30"/>
  <c r="Q41" i="30"/>
  <c r="Q40" i="30"/>
  <c r="Q39" i="30"/>
  <c r="Q36" i="30"/>
  <c r="Q35" i="30"/>
  <c r="Q34" i="30"/>
  <c r="Q33" i="30"/>
  <c r="Q32" i="30"/>
  <c r="Q31" i="30"/>
  <c r="Q30" i="30"/>
  <c r="Q29" i="30"/>
  <c r="Q24" i="30"/>
  <c r="Q23" i="30"/>
  <c r="Q22" i="30"/>
  <c r="Q19" i="30"/>
  <c r="Q14" i="30"/>
  <c r="Q13" i="30"/>
  <c r="Q12" i="30"/>
  <c r="Q10" i="30"/>
  <c r="Q9" i="30"/>
  <c r="Q8" i="30"/>
  <c r="Q7" i="30"/>
  <c r="Q6" i="30"/>
  <c r="Q4" i="30"/>
  <c r="F10" i="21"/>
  <c r="E10" i="21"/>
  <c r="F9" i="21"/>
  <c r="E9" i="21"/>
  <c r="F16" i="21"/>
  <c r="E16" i="21"/>
  <c r="E12" i="21"/>
  <c r="F12" i="21"/>
  <c r="F11" i="21"/>
  <c r="E11" i="21"/>
  <c r="F8" i="21"/>
  <c r="E8" i="21"/>
  <c r="Q60" i="30" l="1"/>
  <c r="O14" i="31"/>
  <c r="I14" i="31"/>
  <c r="I117" i="31" s="1"/>
  <c r="P14" i="31"/>
  <c r="P117" i="31" s="1"/>
  <c r="F45" i="29"/>
  <c r="F47" i="29" s="1"/>
  <c r="D47" i="29"/>
  <c r="E17" i="21" s="1"/>
  <c r="G17" i="21" s="1"/>
  <c r="D41" i="29"/>
  <c r="E41" i="29"/>
  <c r="F39" i="29"/>
  <c r="F41" i="29" s="1"/>
  <c r="F51" i="29"/>
  <c r="G36" i="21"/>
  <c r="G42" i="21"/>
  <c r="G41" i="21"/>
  <c r="G40" i="21"/>
  <c r="G39" i="21"/>
  <c r="G38" i="21"/>
  <c r="G37" i="21"/>
  <c r="G35" i="21"/>
  <c r="G34" i="21"/>
  <c r="G33" i="21"/>
  <c r="G32" i="21"/>
  <c r="G30" i="21"/>
  <c r="G29" i="21"/>
  <c r="G26" i="21"/>
  <c r="G25" i="21"/>
  <c r="G24" i="21"/>
  <c r="G23" i="21"/>
  <c r="G22" i="21"/>
  <c r="G21" i="21"/>
  <c r="G20" i="21"/>
  <c r="G18" i="21"/>
  <c r="G16" i="21"/>
  <c r="G13" i="21"/>
  <c r="G12" i="21"/>
  <c r="G11" i="21"/>
  <c r="G10" i="21"/>
  <c r="G9" i="21"/>
  <c r="G8" i="21"/>
  <c r="P60" i="28"/>
  <c r="O60" i="28"/>
  <c r="N60" i="28"/>
  <c r="M60" i="28"/>
  <c r="L60" i="28"/>
  <c r="K60" i="28"/>
  <c r="J60" i="28"/>
  <c r="I60" i="28"/>
  <c r="H60" i="28"/>
  <c r="G60" i="28"/>
  <c r="F60" i="28"/>
  <c r="D60" i="28"/>
  <c r="Q58" i="28"/>
  <c r="Q57" i="28"/>
  <c r="Q56" i="28"/>
  <c r="Q55" i="28"/>
  <c r="Q54" i="28"/>
  <c r="Q53" i="28"/>
  <c r="Q52" i="28"/>
  <c r="Q51" i="28"/>
  <c r="Q50" i="28"/>
  <c r="Q49" i="28"/>
  <c r="Q48" i="28"/>
  <c r="Q47" i="28"/>
  <c r="Q46" i="28"/>
  <c r="Q45" i="28"/>
  <c r="Q44" i="28"/>
  <c r="Q43" i="28"/>
  <c r="Q42" i="28"/>
  <c r="Q41" i="28"/>
  <c r="Q40" i="28"/>
  <c r="Q39" i="28"/>
  <c r="Q36" i="28"/>
  <c r="Q35" i="28"/>
  <c r="Q34" i="28"/>
  <c r="Q33" i="28"/>
  <c r="Q32" i="28"/>
  <c r="Q31" i="28"/>
  <c r="Q30" i="28"/>
  <c r="Q29" i="28"/>
  <c r="Q24" i="28"/>
  <c r="Q23" i="28"/>
  <c r="Q22" i="28"/>
  <c r="Q19" i="28"/>
  <c r="Q14" i="28"/>
  <c r="Q13" i="28"/>
  <c r="Q12" i="28"/>
  <c r="Q10" i="28"/>
  <c r="Q9" i="28"/>
  <c r="Q8" i="28"/>
  <c r="Q7" i="28"/>
  <c r="Q6" i="28"/>
  <c r="Q4" i="28"/>
  <c r="P58" i="27"/>
  <c r="O58" i="27"/>
  <c r="N58" i="27"/>
  <c r="M58" i="27"/>
  <c r="L58" i="27"/>
  <c r="K58" i="27"/>
  <c r="J58" i="27"/>
  <c r="I58" i="27"/>
  <c r="H58" i="27"/>
  <c r="G58" i="27"/>
  <c r="F58" i="27"/>
  <c r="D58" i="27"/>
  <c r="Q56" i="27"/>
  <c r="Q55" i="27"/>
  <c r="Q54" i="27"/>
  <c r="Q53" i="27"/>
  <c r="Q52" i="27"/>
  <c r="Q51" i="27"/>
  <c r="Q50" i="27"/>
  <c r="Q49" i="27"/>
  <c r="Q48" i="27"/>
  <c r="Q47" i="27"/>
  <c r="Q46" i="27"/>
  <c r="Q45" i="27"/>
  <c r="Q44" i="27"/>
  <c r="Q43" i="27"/>
  <c r="Q42" i="27"/>
  <c r="Q41" i="27"/>
  <c r="Q40" i="27"/>
  <c r="Q39" i="27"/>
  <c r="Q38" i="27"/>
  <c r="Q37" i="27"/>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P58" i="26"/>
  <c r="O58" i="26"/>
  <c r="N58" i="26"/>
  <c r="M58" i="26"/>
  <c r="L58" i="26"/>
  <c r="K58" i="26"/>
  <c r="J58" i="26"/>
  <c r="I58" i="26"/>
  <c r="H58" i="26"/>
  <c r="G58" i="26"/>
  <c r="F58" i="26"/>
  <c r="D58" i="26"/>
  <c r="Q56" i="26"/>
  <c r="Q55" i="26"/>
  <c r="Q54" i="26"/>
  <c r="Q53" i="26"/>
  <c r="Q52" i="26"/>
  <c r="Q51" i="26"/>
  <c r="Q50" i="26"/>
  <c r="Q49" i="26"/>
  <c r="Q48" i="26"/>
  <c r="Q47" i="26"/>
  <c r="Q46" i="26"/>
  <c r="Q45" i="26"/>
  <c r="Q44" i="26"/>
  <c r="Q43" i="26"/>
  <c r="Q42" i="26"/>
  <c r="Q41" i="26"/>
  <c r="Q40" i="26"/>
  <c r="Q39" i="26"/>
  <c r="Q38" i="26"/>
  <c r="Q37" i="26"/>
  <c r="Q36" i="26"/>
  <c r="Q35" i="26"/>
  <c r="Q34" i="26"/>
  <c r="Q33" i="26"/>
  <c r="Q32" i="26"/>
  <c r="Q31" i="26"/>
  <c r="Q30" i="26"/>
  <c r="Q29" i="26"/>
  <c r="Q28" i="26"/>
  <c r="Q27" i="26"/>
  <c r="Q26" i="26"/>
  <c r="Q25" i="26"/>
  <c r="Q24" i="26"/>
  <c r="Q23" i="26"/>
  <c r="Q22" i="26"/>
  <c r="Q21" i="26"/>
  <c r="Q20" i="26"/>
  <c r="Q19" i="26"/>
  <c r="Q18" i="26"/>
  <c r="Q17" i="26"/>
  <c r="Q16" i="26"/>
  <c r="Q15" i="26"/>
  <c r="Q14" i="26"/>
  <c r="Q13" i="26"/>
  <c r="Q12" i="26"/>
  <c r="Q11" i="26"/>
  <c r="Q10" i="26"/>
  <c r="Q9" i="26"/>
  <c r="Q8" i="26"/>
  <c r="Q7" i="26"/>
  <c r="Q58" i="27" l="1"/>
  <c r="K14" i="31"/>
  <c r="J14" i="31"/>
  <c r="J117" i="31" s="1"/>
  <c r="R14" i="31"/>
  <c r="O117" i="31"/>
  <c r="F42" i="29"/>
  <c r="Q58" i="26"/>
  <c r="Q60" i="28"/>
  <c r="P40" i="25"/>
  <c r="O40" i="25"/>
  <c r="N40" i="25"/>
  <c r="M40" i="25"/>
  <c r="L40" i="25"/>
  <c r="K40" i="25"/>
  <c r="J40" i="25"/>
  <c r="I40" i="25"/>
  <c r="H40" i="25"/>
  <c r="G40" i="25"/>
  <c r="F40" i="25"/>
  <c r="D40" i="25"/>
  <c r="Q38" i="25"/>
  <c r="Q37" i="25"/>
  <c r="Q36" i="25"/>
  <c r="Q35" i="25"/>
  <c r="Q34" i="25"/>
  <c r="Q33" i="25"/>
  <c r="Q32" i="25"/>
  <c r="Q31" i="25"/>
  <c r="Q30" i="25"/>
  <c r="Q29" i="25"/>
  <c r="Q28" i="25"/>
  <c r="Q27" i="25"/>
  <c r="Q26" i="25"/>
  <c r="Q25" i="25"/>
  <c r="Q24" i="25"/>
  <c r="Q23" i="25"/>
  <c r="Q22" i="25"/>
  <c r="Q21" i="25"/>
  <c r="Q20" i="25"/>
  <c r="Q19" i="25"/>
  <c r="Q18" i="25"/>
  <c r="Q17" i="25"/>
  <c r="Q16" i="25"/>
  <c r="Q15" i="25"/>
  <c r="Q14" i="25"/>
  <c r="Q13" i="25"/>
  <c r="Q12" i="25"/>
  <c r="Q11" i="25"/>
  <c r="Q10" i="25"/>
  <c r="Q9" i="25"/>
  <c r="Q8" i="25"/>
  <c r="Q7" i="25"/>
  <c r="P40" i="24"/>
  <c r="O40" i="24"/>
  <c r="N40" i="24"/>
  <c r="M40" i="24"/>
  <c r="L40" i="24"/>
  <c r="K40" i="24"/>
  <c r="J40" i="24"/>
  <c r="I40" i="24"/>
  <c r="H40" i="24"/>
  <c r="G40" i="24"/>
  <c r="F40" i="24"/>
  <c r="D40" i="24"/>
  <c r="Q38" i="24"/>
  <c r="Q37" i="24"/>
  <c r="Q36" i="24"/>
  <c r="Q35" i="24"/>
  <c r="Q34" i="24"/>
  <c r="Q33" i="24"/>
  <c r="Q32" i="24"/>
  <c r="Q31" i="24"/>
  <c r="Q30" i="24"/>
  <c r="Q29" i="24"/>
  <c r="Q28" i="24"/>
  <c r="Q27" i="24"/>
  <c r="Q26" i="24"/>
  <c r="Q25" i="24"/>
  <c r="Q24" i="24"/>
  <c r="Q23" i="24"/>
  <c r="Q22" i="24"/>
  <c r="Q21" i="24"/>
  <c r="Q20" i="24"/>
  <c r="Q19" i="24"/>
  <c r="Q18" i="24"/>
  <c r="Q17" i="24"/>
  <c r="Q16" i="24"/>
  <c r="Q15" i="24"/>
  <c r="Q14" i="24"/>
  <c r="Q13" i="24"/>
  <c r="Q12" i="24"/>
  <c r="Q11" i="24"/>
  <c r="Q10" i="24"/>
  <c r="Q9" i="24"/>
  <c r="Q8" i="24"/>
  <c r="Q7" i="24"/>
  <c r="D40" i="23"/>
  <c r="P40" i="23"/>
  <c r="O40" i="23"/>
  <c r="N40" i="23"/>
  <c r="M40" i="23"/>
  <c r="L40" i="23"/>
  <c r="K40" i="23"/>
  <c r="J40" i="23"/>
  <c r="I40" i="23"/>
  <c r="H40" i="23"/>
  <c r="G40" i="23"/>
  <c r="F40" i="23"/>
  <c r="Q38" i="23"/>
  <c r="Q37" i="23"/>
  <c r="Q36" i="23"/>
  <c r="Q35" i="23"/>
  <c r="Q34" i="23"/>
  <c r="Q33" i="23"/>
  <c r="Q32" i="23"/>
  <c r="Q31" i="23"/>
  <c r="Q30" i="23"/>
  <c r="Q29" i="23"/>
  <c r="Q28" i="23"/>
  <c r="Q27" i="23"/>
  <c r="Q26" i="23"/>
  <c r="Q25" i="23"/>
  <c r="Q24" i="23"/>
  <c r="Q23" i="23"/>
  <c r="Q22" i="23"/>
  <c r="Q21" i="23"/>
  <c r="Q20" i="23"/>
  <c r="Q19" i="23"/>
  <c r="Q18" i="23"/>
  <c r="Q17" i="23"/>
  <c r="Q16" i="23"/>
  <c r="Q15" i="23"/>
  <c r="Q14" i="23"/>
  <c r="Q13" i="23"/>
  <c r="Q12" i="23"/>
  <c r="Q11" i="23"/>
  <c r="Q10" i="23"/>
  <c r="Q9" i="23"/>
  <c r="Q8" i="23"/>
  <c r="Q7" i="23"/>
  <c r="P58" i="22"/>
  <c r="O58" i="22"/>
  <c r="N58" i="22"/>
  <c r="M58" i="22"/>
  <c r="L58" i="22"/>
  <c r="K58" i="22"/>
  <c r="J58" i="22"/>
  <c r="I58" i="22"/>
  <c r="H58" i="22"/>
  <c r="G58" i="22"/>
  <c r="F58" i="22"/>
  <c r="D58" i="22"/>
  <c r="Q56" i="22"/>
  <c r="Q55" i="22"/>
  <c r="Q54" i="22"/>
  <c r="Q53" i="22"/>
  <c r="Q52" i="22"/>
  <c r="Q51" i="22"/>
  <c r="Q50" i="22"/>
  <c r="Q49" i="22"/>
  <c r="Q48" i="22"/>
  <c r="Q47" i="22"/>
  <c r="Q46" i="22"/>
  <c r="Q45" i="22"/>
  <c r="Q44" i="22"/>
  <c r="Q43" i="22"/>
  <c r="Q42" i="22"/>
  <c r="Q41" i="22"/>
  <c r="Q18" i="22"/>
  <c r="Q17" i="22"/>
  <c r="Q16" i="22"/>
  <c r="Q40" i="22"/>
  <c r="Q39" i="22"/>
  <c r="Q38" i="22"/>
  <c r="Q37" i="22"/>
  <c r="Q36" i="22"/>
  <c r="Q35" i="22"/>
  <c r="Q34" i="22"/>
  <c r="Q33" i="22"/>
  <c r="Q32" i="22"/>
  <c r="Q31" i="22"/>
  <c r="Q30" i="22"/>
  <c r="Q29" i="22"/>
  <c r="Q28" i="22"/>
  <c r="Q27" i="22"/>
  <c r="Q26" i="22"/>
  <c r="Q25" i="22"/>
  <c r="Q24" i="22"/>
  <c r="Q23" i="22"/>
  <c r="Q22" i="22"/>
  <c r="Q21" i="22"/>
  <c r="Q20" i="22"/>
  <c r="Q19" i="22"/>
  <c r="Q15" i="22"/>
  <c r="Q14" i="22"/>
  <c r="Q13" i="22"/>
  <c r="Q12" i="22"/>
  <c r="Q11" i="22"/>
  <c r="Q10" i="22"/>
  <c r="Q9" i="22"/>
  <c r="Q8" i="22"/>
  <c r="Q7" i="22"/>
  <c r="Q40" i="24" l="1"/>
  <c r="Q44" i="24" s="1"/>
  <c r="Q40" i="25"/>
  <c r="Q44" i="25" s="1"/>
  <c r="B4" i="19"/>
  <c r="B5" i="19" s="1"/>
  <c r="D4" i="19"/>
  <c r="I118" i="31"/>
  <c r="K117" i="31"/>
  <c r="L14" i="31" s="1"/>
  <c r="Q58" i="22"/>
  <c r="Q40" i="23"/>
  <c r="Q44" i="23" s="1"/>
  <c r="S18" i="1"/>
  <c r="D9" i="19"/>
  <c r="B9" i="19"/>
  <c r="D5" i="19"/>
  <c r="D7" i="19" s="1"/>
  <c r="E7" i="19" s="1"/>
  <c r="E167" i="10"/>
  <c r="C49" i="11"/>
  <c r="C48" i="11"/>
  <c r="B49" i="11"/>
  <c r="B48" i="11"/>
  <c r="D14" i="19" l="1"/>
  <c r="D13" i="19"/>
  <c r="L17" i="31"/>
  <c r="M17" i="31" s="1"/>
  <c r="L114" i="31"/>
  <c r="M114" i="31" s="1"/>
  <c r="L106" i="31"/>
  <c r="M106" i="31" s="1"/>
  <c r="L98" i="31"/>
  <c r="M98" i="31" s="1"/>
  <c r="L90" i="31"/>
  <c r="M90" i="31" s="1"/>
  <c r="L82" i="31"/>
  <c r="M82" i="31" s="1"/>
  <c r="L74" i="31"/>
  <c r="M74" i="31" s="1"/>
  <c r="L66" i="31"/>
  <c r="M66" i="31" s="1"/>
  <c r="L58" i="31"/>
  <c r="M58" i="31" s="1"/>
  <c r="L50" i="31"/>
  <c r="M50" i="31" s="1"/>
  <c r="L42" i="31"/>
  <c r="M42" i="31" s="1"/>
  <c r="L34" i="31"/>
  <c r="M34" i="31" s="1"/>
  <c r="L26" i="31"/>
  <c r="M26" i="31" s="1"/>
  <c r="L18" i="31"/>
  <c r="M18" i="31" s="1"/>
  <c r="L93" i="31"/>
  <c r="M93" i="31" s="1"/>
  <c r="L53" i="31"/>
  <c r="M53" i="31" s="1"/>
  <c r="L68" i="31"/>
  <c r="M68" i="31" s="1"/>
  <c r="L113" i="31"/>
  <c r="M113" i="31" s="1"/>
  <c r="L105" i="31"/>
  <c r="M105" i="31" s="1"/>
  <c r="L97" i="31"/>
  <c r="M97" i="31" s="1"/>
  <c r="L89" i="31"/>
  <c r="M89" i="31" s="1"/>
  <c r="L81" i="31"/>
  <c r="M81" i="31" s="1"/>
  <c r="L73" i="31"/>
  <c r="M73" i="31" s="1"/>
  <c r="L65" i="31"/>
  <c r="M65" i="31" s="1"/>
  <c r="L57" i="31"/>
  <c r="M57" i="31" s="1"/>
  <c r="L49" i="31"/>
  <c r="M49" i="31" s="1"/>
  <c r="L41" i="31"/>
  <c r="M41" i="31" s="1"/>
  <c r="L33" i="31"/>
  <c r="M33" i="31" s="1"/>
  <c r="L25" i="31"/>
  <c r="M25" i="31" s="1"/>
  <c r="L101" i="31"/>
  <c r="M101" i="31" s="1"/>
  <c r="L37" i="31"/>
  <c r="M37" i="31" s="1"/>
  <c r="L92" i="31"/>
  <c r="M92" i="31" s="1"/>
  <c r="L112" i="31"/>
  <c r="M112" i="31" s="1"/>
  <c r="L104" i="31"/>
  <c r="M104" i="31" s="1"/>
  <c r="L96" i="31"/>
  <c r="M96" i="31" s="1"/>
  <c r="L88" i="31"/>
  <c r="M88" i="31" s="1"/>
  <c r="L80" i="31"/>
  <c r="M80" i="31" s="1"/>
  <c r="L72" i="31"/>
  <c r="M72" i="31" s="1"/>
  <c r="L64" i="31"/>
  <c r="M64" i="31" s="1"/>
  <c r="L56" i="31"/>
  <c r="M56" i="31" s="1"/>
  <c r="L48" i="31"/>
  <c r="M48" i="31" s="1"/>
  <c r="L40" i="31"/>
  <c r="M40" i="31" s="1"/>
  <c r="L32" i="31"/>
  <c r="M32" i="31" s="1"/>
  <c r="L24" i="31"/>
  <c r="M24" i="31" s="1"/>
  <c r="L85" i="31"/>
  <c r="M85" i="31" s="1"/>
  <c r="L76" i="31"/>
  <c r="M76" i="31" s="1"/>
  <c r="L60" i="31"/>
  <c r="M60" i="31" s="1"/>
  <c r="L36" i="31"/>
  <c r="M36" i="31" s="1"/>
  <c r="L111" i="31"/>
  <c r="M111" i="31" s="1"/>
  <c r="L103" i="31"/>
  <c r="M103" i="31" s="1"/>
  <c r="L95" i="31"/>
  <c r="M95" i="31" s="1"/>
  <c r="L87" i="31"/>
  <c r="M87" i="31" s="1"/>
  <c r="L79" i="31"/>
  <c r="M79" i="31" s="1"/>
  <c r="L71" i="31"/>
  <c r="M71" i="31" s="1"/>
  <c r="L63" i="31"/>
  <c r="M63" i="31" s="1"/>
  <c r="L55" i="31"/>
  <c r="M55" i="31" s="1"/>
  <c r="L47" i="31"/>
  <c r="M47" i="31" s="1"/>
  <c r="L39" i="31"/>
  <c r="M39" i="31" s="1"/>
  <c r="L31" i="31"/>
  <c r="M31" i="31" s="1"/>
  <c r="L23" i="31"/>
  <c r="M23" i="31" s="1"/>
  <c r="L77" i="31"/>
  <c r="M77" i="31" s="1"/>
  <c r="L84" i="31"/>
  <c r="M84" i="31" s="1"/>
  <c r="L52" i="31"/>
  <c r="M52" i="31" s="1"/>
  <c r="L28" i="31"/>
  <c r="M28" i="31" s="1"/>
  <c r="L110" i="31"/>
  <c r="M110" i="31" s="1"/>
  <c r="L102" i="31"/>
  <c r="M102" i="31" s="1"/>
  <c r="L94" i="31"/>
  <c r="M94" i="31" s="1"/>
  <c r="L86" i="31"/>
  <c r="M86" i="31" s="1"/>
  <c r="L78" i="31"/>
  <c r="M78" i="31" s="1"/>
  <c r="L70" i="31"/>
  <c r="M70" i="31" s="1"/>
  <c r="L62" i="31"/>
  <c r="M62" i="31" s="1"/>
  <c r="L54" i="31"/>
  <c r="M54" i="31" s="1"/>
  <c r="L46" i="31"/>
  <c r="M46" i="31" s="1"/>
  <c r="L38" i="31"/>
  <c r="M38" i="31" s="1"/>
  <c r="L30" i="31"/>
  <c r="M30" i="31" s="1"/>
  <c r="L22" i="31"/>
  <c r="M22" i="31" s="1"/>
  <c r="L109" i="31"/>
  <c r="M109" i="31" s="1"/>
  <c r="L61" i="31"/>
  <c r="M61" i="31" s="1"/>
  <c r="L29" i="31"/>
  <c r="M29" i="31" s="1"/>
  <c r="L100" i="31"/>
  <c r="M100" i="31" s="1"/>
  <c r="L20" i="31"/>
  <c r="M20" i="31" s="1"/>
  <c r="L107" i="31"/>
  <c r="M107" i="31" s="1"/>
  <c r="L99" i="31"/>
  <c r="M99" i="31" s="1"/>
  <c r="L91" i="31"/>
  <c r="M91" i="31" s="1"/>
  <c r="L83" i="31"/>
  <c r="M83" i="31" s="1"/>
  <c r="L75" i="31"/>
  <c r="M75" i="31" s="1"/>
  <c r="L67" i="31"/>
  <c r="M67" i="31" s="1"/>
  <c r="L59" i="31"/>
  <c r="M59" i="31" s="1"/>
  <c r="L51" i="31"/>
  <c r="M51" i="31" s="1"/>
  <c r="L43" i="31"/>
  <c r="M43" i="31" s="1"/>
  <c r="L35" i="31"/>
  <c r="M35" i="31" s="1"/>
  <c r="L27" i="31"/>
  <c r="M27" i="31" s="1"/>
  <c r="L19" i="31"/>
  <c r="M19" i="31" s="1"/>
  <c r="L69" i="31"/>
  <c r="M69" i="31" s="1"/>
  <c r="L45" i="31"/>
  <c r="M45" i="31" s="1"/>
  <c r="L21" i="31"/>
  <c r="M21" i="31" s="1"/>
  <c r="L108" i="31"/>
  <c r="M108" i="31" s="1"/>
  <c r="L44" i="31"/>
  <c r="M44" i="31" s="1"/>
  <c r="L15" i="31"/>
  <c r="M15" i="31" s="1"/>
  <c r="M14" i="31"/>
  <c r="N14" i="31" s="1"/>
  <c r="L16" i="31"/>
  <c r="M16" i="31" s="1"/>
  <c r="U28" i="31"/>
  <c r="D48" i="11"/>
  <c r="D49" i="11"/>
  <c r="C50" i="11"/>
  <c r="D10" i="19" s="1"/>
  <c r="D11" i="19" s="1"/>
  <c r="B50" i="11"/>
  <c r="D50" i="11" l="1"/>
  <c r="D16" i="19"/>
  <c r="D17" i="19" s="1"/>
  <c r="F31" i="21" s="1"/>
  <c r="Q100" i="31"/>
  <c r="V100" i="31" s="1"/>
  <c r="N100" i="31"/>
  <c r="Q28" i="31"/>
  <c r="T28" i="31" s="1"/>
  <c r="N28" i="31"/>
  <c r="Q53" i="31"/>
  <c r="V53" i="31" s="1"/>
  <c r="N53" i="31"/>
  <c r="Q29" i="31"/>
  <c r="V29" i="31" s="1"/>
  <c r="N29" i="31"/>
  <c r="Q64" i="31"/>
  <c r="V64" i="31" s="1"/>
  <c r="N64" i="31"/>
  <c r="Q69" i="31"/>
  <c r="V69" i="31" s="1"/>
  <c r="N69" i="31"/>
  <c r="Q71" i="31"/>
  <c r="V71" i="31" s="1"/>
  <c r="N71" i="31"/>
  <c r="Q101" i="31"/>
  <c r="V101" i="31" s="1"/>
  <c r="N101" i="31"/>
  <c r="Q19" i="31"/>
  <c r="V19" i="31" s="1"/>
  <c r="N19" i="31"/>
  <c r="Q83" i="31"/>
  <c r="V83" i="31" s="1"/>
  <c r="N83" i="31"/>
  <c r="Q109" i="31"/>
  <c r="V109" i="31" s="1"/>
  <c r="N109" i="31"/>
  <c r="Q78" i="31"/>
  <c r="V78" i="31" s="1"/>
  <c r="N78" i="31"/>
  <c r="Q77" i="31"/>
  <c r="V77" i="31" s="1"/>
  <c r="N77" i="31"/>
  <c r="Q79" i="31"/>
  <c r="V79" i="31" s="1"/>
  <c r="N79" i="31"/>
  <c r="Q85" i="31"/>
  <c r="V85" i="31" s="1"/>
  <c r="N85" i="31"/>
  <c r="Q80" i="31"/>
  <c r="V80" i="31" s="1"/>
  <c r="N80" i="31"/>
  <c r="Q25" i="31"/>
  <c r="V25" i="31" s="1"/>
  <c r="N25" i="31"/>
  <c r="Q89" i="31"/>
  <c r="V89" i="31" s="1"/>
  <c r="N89" i="31"/>
  <c r="Q26" i="31"/>
  <c r="V26" i="31" s="1"/>
  <c r="N26" i="31"/>
  <c r="Q90" i="31"/>
  <c r="V90" i="31" s="1"/>
  <c r="N90" i="31"/>
  <c r="Q55" i="31"/>
  <c r="V55" i="31" s="1"/>
  <c r="N55" i="31"/>
  <c r="Q65" i="31"/>
  <c r="V65" i="31" s="1"/>
  <c r="N65" i="31"/>
  <c r="Q52" i="31"/>
  <c r="V52" i="31" s="1"/>
  <c r="N52" i="31"/>
  <c r="Q37" i="31"/>
  <c r="V37" i="31" s="1"/>
  <c r="N37" i="31"/>
  <c r="Q75" i="31"/>
  <c r="V75" i="31" s="1"/>
  <c r="N75" i="31"/>
  <c r="Q76" i="31"/>
  <c r="V76" i="31" s="1"/>
  <c r="N76" i="31"/>
  <c r="Q18" i="31"/>
  <c r="V18" i="31" s="1"/>
  <c r="N18" i="31"/>
  <c r="Q91" i="31"/>
  <c r="V91" i="31" s="1"/>
  <c r="N91" i="31"/>
  <c r="Q22" i="31"/>
  <c r="V22" i="31" s="1"/>
  <c r="N22" i="31"/>
  <c r="Q86" i="31"/>
  <c r="V86" i="31" s="1"/>
  <c r="N86" i="31"/>
  <c r="Q23" i="31"/>
  <c r="V23" i="31" s="1"/>
  <c r="N23" i="31"/>
  <c r="Q87" i="31"/>
  <c r="V87" i="31" s="1"/>
  <c r="N87" i="31"/>
  <c r="Q24" i="31"/>
  <c r="V24" i="31" s="1"/>
  <c r="N24" i="31"/>
  <c r="Q88" i="31"/>
  <c r="V88" i="31" s="1"/>
  <c r="N88" i="31"/>
  <c r="Q33" i="31"/>
  <c r="V33" i="31" s="1"/>
  <c r="N33" i="31"/>
  <c r="Q97" i="31"/>
  <c r="V97" i="31" s="1"/>
  <c r="N97" i="31"/>
  <c r="Q34" i="31"/>
  <c r="V34" i="31" s="1"/>
  <c r="N34" i="31"/>
  <c r="Q98" i="31"/>
  <c r="V98" i="31" s="1"/>
  <c r="N98" i="31"/>
  <c r="Q54" i="31"/>
  <c r="V54" i="31" s="1"/>
  <c r="N54" i="31"/>
  <c r="Q92" i="31"/>
  <c r="V92" i="31" s="1"/>
  <c r="N92" i="31"/>
  <c r="Q67" i="31"/>
  <c r="V67" i="31" s="1"/>
  <c r="N67" i="31"/>
  <c r="Q60" i="31"/>
  <c r="V60" i="31" s="1"/>
  <c r="N60" i="31"/>
  <c r="Q74" i="31"/>
  <c r="V74" i="31" s="1"/>
  <c r="N74" i="31"/>
  <c r="Q70" i="31"/>
  <c r="V70" i="31" s="1"/>
  <c r="N70" i="31"/>
  <c r="Q82" i="31"/>
  <c r="V82" i="31" s="1"/>
  <c r="N82" i="31"/>
  <c r="Q35" i="31"/>
  <c r="V35" i="31" s="1"/>
  <c r="N35" i="31"/>
  <c r="Q99" i="31"/>
  <c r="V99" i="31" s="1"/>
  <c r="N99" i="31"/>
  <c r="Q30" i="31"/>
  <c r="V30" i="31" s="1"/>
  <c r="N30" i="31"/>
  <c r="Q94" i="31"/>
  <c r="V94" i="31" s="1"/>
  <c r="N94" i="31"/>
  <c r="Q95" i="31"/>
  <c r="V95" i="31" s="1"/>
  <c r="N95" i="31"/>
  <c r="Q32" i="31"/>
  <c r="V32" i="31" s="1"/>
  <c r="N32" i="31"/>
  <c r="Q96" i="31"/>
  <c r="V96" i="31" s="1"/>
  <c r="N96" i="31"/>
  <c r="Q41" i="31"/>
  <c r="V41" i="31" s="1"/>
  <c r="N41" i="31"/>
  <c r="Q105" i="31"/>
  <c r="V105" i="31" s="1"/>
  <c r="N105" i="31"/>
  <c r="Q42" i="31"/>
  <c r="V42" i="31" s="1"/>
  <c r="N42" i="31"/>
  <c r="Q106" i="31"/>
  <c r="V106" i="31" s="1"/>
  <c r="N106" i="31"/>
  <c r="Q21" i="31"/>
  <c r="V21" i="31" s="1"/>
  <c r="N21" i="31"/>
  <c r="Q36" i="31"/>
  <c r="V36" i="31" s="1"/>
  <c r="N36" i="31"/>
  <c r="Q66" i="31"/>
  <c r="V66" i="31" s="1"/>
  <c r="N66" i="31"/>
  <c r="Q31" i="31"/>
  <c r="V31" i="31" s="1"/>
  <c r="N31" i="31"/>
  <c r="Q62" i="31"/>
  <c r="V62" i="31" s="1"/>
  <c r="N62" i="31"/>
  <c r="Q93" i="31"/>
  <c r="V93" i="31" s="1"/>
  <c r="N93" i="31"/>
  <c r="Q61" i="31"/>
  <c r="V61" i="31" s="1"/>
  <c r="N61" i="31"/>
  <c r="Q72" i="31"/>
  <c r="V72" i="31" s="1"/>
  <c r="N72" i="31"/>
  <c r="Q16" i="31"/>
  <c r="V16" i="31" s="1"/>
  <c r="N16" i="31"/>
  <c r="Q15" i="31"/>
  <c r="V15" i="31" s="1"/>
  <c r="N15" i="31"/>
  <c r="Q44" i="31"/>
  <c r="V44" i="31" s="1"/>
  <c r="N44" i="31"/>
  <c r="Q43" i="31"/>
  <c r="V43" i="31" s="1"/>
  <c r="N43" i="31"/>
  <c r="Q107" i="31"/>
  <c r="V107" i="31" s="1"/>
  <c r="N107" i="31"/>
  <c r="Q38" i="31"/>
  <c r="V38" i="31" s="1"/>
  <c r="N38" i="31"/>
  <c r="Q102" i="31"/>
  <c r="V102" i="31" s="1"/>
  <c r="N102" i="31"/>
  <c r="Q39" i="31"/>
  <c r="V39" i="31" s="1"/>
  <c r="N39" i="31"/>
  <c r="Q103" i="31"/>
  <c r="V103" i="31" s="1"/>
  <c r="N103" i="31"/>
  <c r="Q40" i="31"/>
  <c r="V40" i="31" s="1"/>
  <c r="N40" i="31"/>
  <c r="Q104" i="31"/>
  <c r="V104" i="31" s="1"/>
  <c r="N104" i="31"/>
  <c r="Q49" i="31"/>
  <c r="V49" i="31" s="1"/>
  <c r="N49" i="31"/>
  <c r="Q113" i="31"/>
  <c r="V113" i="31" s="1"/>
  <c r="N113" i="31"/>
  <c r="Q59" i="31"/>
  <c r="V59" i="31" s="1"/>
  <c r="N59" i="31"/>
  <c r="Q56" i="31"/>
  <c r="V56" i="31" s="1"/>
  <c r="N56" i="31"/>
  <c r="Q45" i="31"/>
  <c r="V45" i="31" s="1"/>
  <c r="N45" i="31"/>
  <c r="Q63" i="31"/>
  <c r="V63" i="31" s="1"/>
  <c r="N63" i="31"/>
  <c r="Q73" i="31"/>
  <c r="V73" i="31" s="1"/>
  <c r="N73" i="31"/>
  <c r="Q50" i="31"/>
  <c r="V50" i="31" s="1"/>
  <c r="N50" i="31"/>
  <c r="Q84" i="31"/>
  <c r="V84" i="31" s="1"/>
  <c r="N84" i="31"/>
  <c r="Q81" i="31"/>
  <c r="V81" i="31" s="1"/>
  <c r="N81" i="31"/>
  <c r="Q27" i="31"/>
  <c r="V27" i="31" s="1"/>
  <c r="N27" i="31"/>
  <c r="Q114" i="31"/>
  <c r="V114" i="31" s="1"/>
  <c r="N114" i="31"/>
  <c r="Q108" i="31"/>
  <c r="V108" i="31" s="1"/>
  <c r="N108" i="31"/>
  <c r="Q51" i="31"/>
  <c r="V51" i="31" s="1"/>
  <c r="N51" i="31"/>
  <c r="Q20" i="31"/>
  <c r="V20" i="31" s="1"/>
  <c r="N20" i="31"/>
  <c r="Q46" i="31"/>
  <c r="V46" i="31" s="1"/>
  <c r="N46" i="31"/>
  <c r="Q110" i="31"/>
  <c r="V110" i="31" s="1"/>
  <c r="N110" i="31"/>
  <c r="Q47" i="31"/>
  <c r="V47" i="31" s="1"/>
  <c r="N47" i="31"/>
  <c r="Q111" i="31"/>
  <c r="V111" i="31" s="1"/>
  <c r="N111" i="31"/>
  <c r="Q48" i="31"/>
  <c r="V48" i="31" s="1"/>
  <c r="N48" i="31"/>
  <c r="Q112" i="31"/>
  <c r="V112" i="31" s="1"/>
  <c r="N112" i="31"/>
  <c r="Q57" i="31"/>
  <c r="V57" i="31" s="1"/>
  <c r="N57" i="31"/>
  <c r="Q68" i="31"/>
  <c r="V68" i="31" s="1"/>
  <c r="N68" i="31"/>
  <c r="Q58" i="31"/>
  <c r="V58" i="31" s="1"/>
  <c r="N58" i="31"/>
  <c r="Q17" i="31"/>
  <c r="V17" i="31" s="1"/>
  <c r="N17" i="31"/>
  <c r="U49" i="31"/>
  <c r="U107" i="31"/>
  <c r="U100" i="31"/>
  <c r="U98" i="31"/>
  <c r="U54" i="31"/>
  <c r="U60" i="31"/>
  <c r="U84" i="31"/>
  <c r="U52" i="31"/>
  <c r="U44" i="31"/>
  <c r="U101" i="31"/>
  <c r="T109" i="31"/>
  <c r="U109" i="31"/>
  <c r="U99" i="31"/>
  <c r="U48" i="31"/>
  <c r="U50" i="31"/>
  <c r="U64" i="31"/>
  <c r="U72" i="31"/>
  <c r="U58" i="31"/>
  <c r="U56" i="31"/>
  <c r="U92" i="31"/>
  <c r="U106" i="31"/>
  <c r="U96" i="31"/>
  <c r="U59" i="31"/>
  <c r="U112" i="31"/>
  <c r="U103" i="31"/>
  <c r="U45" i="31"/>
  <c r="T79" i="31"/>
  <c r="U79" i="31"/>
  <c r="U89" i="31"/>
  <c r="U95" i="31"/>
  <c r="U94" i="31"/>
  <c r="U67" i="31"/>
  <c r="U83" i="31"/>
  <c r="U66" i="31"/>
  <c r="U80" i="31"/>
  <c r="U113" i="31"/>
  <c r="U86" i="31"/>
  <c r="U51" i="31"/>
  <c r="U65" i="31"/>
  <c r="U88" i="31"/>
  <c r="U63" i="31"/>
  <c r="U77" i="31"/>
  <c r="U55" i="31"/>
  <c r="U81" i="31"/>
  <c r="T53" i="31"/>
  <c r="U53" i="31"/>
  <c r="U82" i="31"/>
  <c r="U93" i="31"/>
  <c r="U110" i="31"/>
  <c r="U90" i="31"/>
  <c r="U102" i="31"/>
  <c r="U43" i="31"/>
  <c r="U47" i="31"/>
  <c r="U57" i="31"/>
  <c r="U73" i="31"/>
  <c r="U91" i="31"/>
  <c r="U69" i="31"/>
  <c r="U46" i="31"/>
  <c r="U62" i="31"/>
  <c r="U68" i="31"/>
  <c r="U111" i="31"/>
  <c r="U87" i="31"/>
  <c r="U105" i="31"/>
  <c r="U104" i="31"/>
  <c r="U78" i="31"/>
  <c r="U70" i="31"/>
  <c r="U75" i="31"/>
  <c r="T85" i="31"/>
  <c r="U85" i="31"/>
  <c r="U61" i="31"/>
  <c r="T74" i="31"/>
  <c r="U74" i="31"/>
  <c r="U76" i="31"/>
  <c r="T71" i="31"/>
  <c r="U71" i="31"/>
  <c r="U97" i="31"/>
  <c r="U108" i="31"/>
  <c r="U114" i="31"/>
  <c r="U19" i="31"/>
  <c r="U27" i="31"/>
  <c r="U39" i="31"/>
  <c r="U35" i="31"/>
  <c r="U41" i="31"/>
  <c r="U42" i="31"/>
  <c r="U26" i="31"/>
  <c r="T26" i="31"/>
  <c r="U30" i="31"/>
  <c r="U34" i="31"/>
  <c r="U33" i="31"/>
  <c r="U17" i="31"/>
  <c r="U38" i="31"/>
  <c r="U21" i="31"/>
  <c r="U37" i="31"/>
  <c r="U18" i="31"/>
  <c r="T18" i="31"/>
  <c r="U25" i="31"/>
  <c r="U36" i="31"/>
  <c r="U31" i="31"/>
  <c r="U23" i="31"/>
  <c r="T23" i="31"/>
  <c r="U15" i="31"/>
  <c r="U29" i="31"/>
  <c r="U32" i="31"/>
  <c r="T32" i="31"/>
  <c r="U22" i="31"/>
  <c r="U16" i="31"/>
  <c r="U24" i="31"/>
  <c r="U40" i="31"/>
  <c r="U20" i="31"/>
  <c r="L117" i="31"/>
  <c r="Q14" i="31"/>
  <c r="V14" i="31" s="1"/>
  <c r="M117" i="31"/>
  <c r="B10" i="19"/>
  <c r="C22" i="20"/>
  <c r="T33" i="31" l="1"/>
  <c r="F43" i="21"/>
  <c r="T66" i="31"/>
  <c r="T22" i="31"/>
  <c r="T86" i="31"/>
  <c r="T83" i="31"/>
  <c r="T69" i="31"/>
  <c r="T62" i="31"/>
  <c r="T42" i="31"/>
  <c r="V28" i="31"/>
  <c r="V118" i="31" s="1"/>
  <c r="T99" i="31"/>
  <c r="T25" i="31"/>
  <c r="T67" i="31"/>
  <c r="T24" i="31"/>
  <c r="T34" i="31"/>
  <c r="T35" i="31"/>
  <c r="T77" i="31"/>
  <c r="T55" i="31"/>
  <c r="T82" i="31"/>
  <c r="T94" i="31"/>
  <c r="T21" i="31"/>
  <c r="T75" i="31"/>
  <c r="T64" i="31"/>
  <c r="T100" i="31"/>
  <c r="T19" i="31"/>
  <c r="T65" i="31"/>
  <c r="T89" i="31"/>
  <c r="T52" i="31"/>
  <c r="T41" i="31"/>
  <c r="T20" i="31"/>
  <c r="T50" i="31"/>
  <c r="T48" i="31"/>
  <c r="T38" i="31"/>
  <c r="T27" i="31"/>
  <c r="T105" i="31"/>
  <c r="T102" i="31"/>
  <c r="T15" i="31"/>
  <c r="T95" i="31"/>
  <c r="T76" i="31"/>
  <c r="T111" i="31"/>
  <c r="T36" i="31"/>
  <c r="T61" i="31"/>
  <c r="T104" i="31"/>
  <c r="T113" i="31"/>
  <c r="T40" i="31"/>
  <c r="T88" i="31"/>
  <c r="T68" i="31"/>
  <c r="T90" i="31"/>
  <c r="T81" i="31"/>
  <c r="T57" i="31"/>
  <c r="T46" i="31"/>
  <c r="T16" i="31"/>
  <c r="T39" i="31"/>
  <c r="T73" i="31"/>
  <c r="T63" i="31"/>
  <c r="T59" i="31"/>
  <c r="T58" i="31"/>
  <c r="T98" i="31"/>
  <c r="T84" i="31"/>
  <c r="T87" i="31"/>
  <c r="T70" i="31"/>
  <c r="T47" i="31"/>
  <c r="T93" i="31"/>
  <c r="T103" i="31"/>
  <c r="T92" i="31"/>
  <c r="T60" i="31"/>
  <c r="T107" i="31"/>
  <c r="T17" i="31"/>
  <c r="T51" i="31"/>
  <c r="T112" i="31"/>
  <c r="T56" i="31"/>
  <c r="T44" i="31"/>
  <c r="T54" i="31"/>
  <c r="T108" i="31"/>
  <c r="T37" i="31"/>
  <c r="T97" i="31"/>
  <c r="T78" i="31"/>
  <c r="T110" i="31"/>
  <c r="T101" i="31"/>
  <c r="T29" i="31"/>
  <c r="T31" i="31"/>
  <c r="T91" i="31"/>
  <c r="T80" i="31"/>
  <c r="T45" i="31"/>
  <c r="T96" i="31"/>
  <c r="T49" i="31"/>
  <c r="T43" i="31"/>
  <c r="T30" i="31"/>
  <c r="T114" i="31"/>
  <c r="T106" i="31"/>
  <c r="T72" i="31"/>
  <c r="U14" i="31"/>
  <c r="T14" i="31"/>
  <c r="E177" i="10"/>
  <c r="E176" i="10"/>
  <c r="E175" i="10"/>
  <c r="E174" i="10"/>
  <c r="E173" i="10"/>
  <c r="E172" i="10"/>
  <c r="E171" i="10"/>
  <c r="E170" i="10"/>
  <c r="E169" i="10"/>
  <c r="E168" i="10"/>
  <c r="G6" i="18"/>
  <c r="T118" i="31" l="1"/>
  <c r="C48" i="17"/>
  <c r="E48" i="20"/>
  <c r="B12" i="20" s="1"/>
  <c r="B48" i="20"/>
  <c r="B10" i="20" s="1"/>
  <c r="S27" i="18" l="1"/>
  <c r="Q27" i="18"/>
  <c r="O27" i="18"/>
  <c r="M27" i="18"/>
  <c r="K27" i="18"/>
  <c r="I27" i="18"/>
  <c r="G27" i="18"/>
  <c r="S6" i="18"/>
  <c r="Q6" i="18"/>
  <c r="O6" i="18"/>
  <c r="M6" i="18"/>
  <c r="K6" i="18"/>
  <c r="I6" i="18"/>
  <c r="G4" i="18"/>
  <c r="S5" i="18"/>
  <c r="Q5" i="18"/>
  <c r="O5" i="18"/>
  <c r="M5" i="18"/>
  <c r="K5" i="18"/>
  <c r="I5" i="18"/>
  <c r="G5" i="18"/>
  <c r="S4" i="18"/>
  <c r="Q4" i="18"/>
  <c r="O4" i="18"/>
  <c r="M4" i="18"/>
  <c r="K4" i="18"/>
  <c r="I4" i="18"/>
  <c r="S30" i="18"/>
  <c r="Q30" i="18"/>
  <c r="O30" i="18"/>
  <c r="M30" i="18"/>
  <c r="K30" i="18"/>
  <c r="G30" i="18"/>
  <c r="I30" i="18"/>
  <c r="S44" i="1" l="1"/>
  <c r="S43" i="1"/>
  <c r="B3" i="20" l="1"/>
  <c r="C4" i="20" s="1"/>
  <c r="U21" i="18"/>
  <c r="U22" i="18"/>
  <c r="S11" i="18"/>
  <c r="S35" i="18" s="1"/>
  <c r="Q11" i="18"/>
  <c r="Q35" i="18" s="1"/>
  <c r="O11" i="18"/>
  <c r="O35" i="18" s="1"/>
  <c r="M11" i="18"/>
  <c r="M35" i="18" s="1"/>
  <c r="K11" i="18"/>
  <c r="K35" i="18" s="1"/>
  <c r="I11" i="18"/>
  <c r="I35" i="18" s="1"/>
  <c r="G11" i="18"/>
  <c r="G35" i="18" s="1"/>
  <c r="U10" i="18"/>
  <c r="O119" i="10"/>
  <c r="O120" i="10"/>
  <c r="O108" i="10"/>
  <c r="O107" i="10"/>
  <c r="U25" i="18" l="1"/>
  <c r="C24" i="17" s="1"/>
  <c r="D35" i="17"/>
  <c r="D33" i="17"/>
  <c r="D32" i="17"/>
  <c r="C36" i="17"/>
  <c r="F19" i="21"/>
  <c r="F27" i="21" s="1"/>
  <c r="C29" i="17" l="1"/>
  <c r="D29" i="17" s="1"/>
  <c r="D36" i="17"/>
  <c r="O92" i="10"/>
  <c r="O116" i="10"/>
  <c r="O115" i="10"/>
  <c r="O113" i="10"/>
  <c r="O112" i="10"/>
  <c r="O103" i="10"/>
  <c r="O102" i="10"/>
  <c r="O101" i="10"/>
  <c r="O100" i="10"/>
  <c r="O99" i="10"/>
  <c r="O96" i="10"/>
  <c r="O95" i="10"/>
  <c r="O94" i="10"/>
  <c r="O93" i="10"/>
  <c r="O89" i="10"/>
  <c r="O88" i="10"/>
  <c r="O87" i="10"/>
  <c r="O86" i="10"/>
  <c r="O85" i="10"/>
  <c r="O82" i="10"/>
  <c r="O81" i="10"/>
  <c r="O80" i="10"/>
  <c r="O79" i="10"/>
  <c r="O78" i="10"/>
  <c r="N104" i="10"/>
  <c r="M104" i="10"/>
  <c r="L104" i="10"/>
  <c r="K104" i="10"/>
  <c r="J104" i="10"/>
  <c r="I104" i="10"/>
  <c r="H104" i="10"/>
  <c r="G104" i="10"/>
  <c r="F104" i="10"/>
  <c r="E104" i="10"/>
  <c r="N97" i="10"/>
  <c r="M97" i="10"/>
  <c r="L97" i="10"/>
  <c r="K97" i="10"/>
  <c r="J97" i="10"/>
  <c r="I97" i="10"/>
  <c r="H97" i="10"/>
  <c r="G97" i="10"/>
  <c r="F97" i="10"/>
  <c r="E97" i="10"/>
  <c r="N90" i="10"/>
  <c r="M90" i="10"/>
  <c r="L90" i="10"/>
  <c r="K90" i="10"/>
  <c r="J90" i="10"/>
  <c r="I90" i="10"/>
  <c r="H90" i="10"/>
  <c r="G90" i="10"/>
  <c r="F90" i="10"/>
  <c r="E90" i="10"/>
  <c r="N83" i="10"/>
  <c r="M83" i="10"/>
  <c r="L83" i="10"/>
  <c r="K83" i="10"/>
  <c r="J83" i="10"/>
  <c r="I83" i="10"/>
  <c r="H83" i="10"/>
  <c r="G83" i="10"/>
  <c r="F83" i="10"/>
  <c r="E83" i="10"/>
  <c r="E19" i="21" l="1"/>
  <c r="O90" i="10"/>
  <c r="O83" i="10"/>
  <c r="O97" i="10"/>
  <c r="O104" i="10"/>
  <c r="S129" i="1"/>
  <c r="S128" i="1"/>
  <c r="S127" i="1"/>
  <c r="S39" i="1"/>
  <c r="G19" i="21" l="1"/>
  <c r="G27" i="21" s="1"/>
  <c r="E27" i="21"/>
  <c r="S30" i="1"/>
  <c r="S25" i="1"/>
  <c r="S20" i="1"/>
  <c r="S14" i="1"/>
  <c r="D119" i="1" l="1"/>
  <c r="P110" i="1"/>
  <c r="M83" i="1"/>
  <c r="F16" i="16"/>
  <c r="N15" i="11"/>
  <c r="F8" i="16" l="1"/>
  <c r="F12" i="16"/>
  <c r="E9" i="18" s="1"/>
  <c r="U9" i="18" s="1"/>
  <c r="F11" i="16"/>
  <c r="C8" i="17" s="1"/>
  <c r="C19" i="17" s="1"/>
  <c r="D19" i="17" s="1"/>
  <c r="F10" i="16"/>
  <c r="F9" i="16"/>
  <c r="N16" i="13"/>
  <c r="N15" i="13"/>
  <c r="N37" i="13" l="1"/>
  <c r="N35" i="13"/>
  <c r="N34" i="13"/>
  <c r="N32" i="13"/>
  <c r="N31" i="13"/>
  <c r="N26" i="13"/>
  <c r="N27" i="13"/>
  <c r="N28" i="13"/>
  <c r="N29" i="13"/>
  <c r="N25" i="13"/>
  <c r="N14" i="13"/>
  <c r="N17" i="13"/>
  <c r="N18" i="13"/>
  <c r="N19" i="13"/>
  <c r="N20" i="13"/>
  <c r="E5" i="18" s="1"/>
  <c r="U5" i="18" s="1"/>
  <c r="N21" i="13"/>
  <c r="N22" i="13"/>
  <c r="N13" i="13"/>
  <c r="C53" i="11"/>
  <c r="B53" i="11"/>
  <c r="N42" i="11"/>
  <c r="N43" i="11"/>
  <c r="N44" i="11"/>
  <c r="N41" i="11"/>
  <c r="N16" i="11"/>
  <c r="E4" i="18" s="1"/>
  <c r="U4" i="18" s="1"/>
  <c r="N17" i="11"/>
  <c r="B11" i="19" s="1"/>
  <c r="N18" i="11"/>
  <c r="N19" i="11"/>
  <c r="N20" i="11"/>
  <c r="N21" i="11"/>
  <c r="N22" i="11"/>
  <c r="N23" i="11"/>
  <c r="N24" i="11"/>
  <c r="N39" i="11"/>
  <c r="S40" i="1"/>
  <c r="D53" i="11" l="1"/>
  <c r="D51" i="11"/>
  <c r="B51" i="11"/>
  <c r="C51" i="11"/>
  <c r="C52" i="11" l="1"/>
  <c r="C54" i="11" s="1"/>
  <c r="B52" i="11"/>
  <c r="B19" i="8"/>
  <c r="B18" i="8"/>
  <c r="D18" i="8"/>
  <c r="D52" i="11" l="1"/>
  <c r="B54" i="11"/>
  <c r="F18" i="8"/>
  <c r="I22" i="8" s="1"/>
  <c r="D54" i="11" l="1"/>
  <c r="A54" i="11"/>
  <c r="H21" i="8"/>
  <c r="B60" i="11"/>
  <c r="D150" i="1"/>
  <c r="D139" i="1"/>
  <c r="P36" i="1"/>
  <c r="P35" i="1"/>
  <c r="S35" i="1" s="1"/>
  <c r="B8" i="20" s="1"/>
  <c r="P13" i="1"/>
  <c r="S48" i="1"/>
  <c r="E7" i="18" l="1"/>
  <c r="U7" i="18" s="1"/>
  <c r="E54" i="11"/>
  <c r="B57" i="11"/>
  <c r="B59" i="11" s="1"/>
  <c r="B61" i="11" s="1"/>
  <c r="E8" i="18" l="1"/>
  <c r="E11" i="18" s="1"/>
  <c r="E35" i="18" s="1"/>
  <c r="G51" i="21"/>
  <c r="G52" i="21" s="1"/>
  <c r="A61" i="11"/>
  <c r="B63" i="11"/>
  <c r="B65" i="11" s="1"/>
  <c r="B67" i="11" s="1"/>
  <c r="E119" i="1"/>
  <c r="F119" i="1"/>
  <c r="G119" i="1"/>
  <c r="H119" i="1"/>
  <c r="I119" i="1"/>
  <c r="J119" i="1"/>
  <c r="K119" i="1"/>
  <c r="L119" i="1"/>
  <c r="M119" i="1"/>
  <c r="N119" i="1"/>
  <c r="O119" i="1"/>
  <c r="P119" i="1"/>
  <c r="L110" i="1"/>
  <c r="M110" i="1"/>
  <c r="N110" i="1"/>
  <c r="O110" i="1"/>
  <c r="L101" i="1"/>
  <c r="M101" i="1"/>
  <c r="N101" i="1"/>
  <c r="O101" i="1"/>
  <c r="P101" i="1"/>
  <c r="L92" i="1"/>
  <c r="M92" i="1"/>
  <c r="N92" i="1"/>
  <c r="O92" i="1"/>
  <c r="P92" i="1"/>
  <c r="L83" i="1"/>
  <c r="N83" i="1"/>
  <c r="O83" i="1"/>
  <c r="P83" i="1"/>
  <c r="L74" i="1"/>
  <c r="M74" i="1"/>
  <c r="N74" i="1"/>
  <c r="O74" i="1"/>
  <c r="P74" i="1"/>
  <c r="L65" i="1"/>
  <c r="M65" i="1"/>
  <c r="N65" i="1"/>
  <c r="O65" i="1"/>
  <c r="P65" i="1"/>
  <c r="L56" i="1"/>
  <c r="M56" i="1"/>
  <c r="N56" i="1"/>
  <c r="O56" i="1"/>
  <c r="P56" i="1"/>
  <c r="S33" i="1"/>
  <c r="S32" i="1"/>
  <c r="S31" i="1"/>
  <c r="S29" i="1"/>
  <c r="S28" i="1"/>
  <c r="S27" i="1"/>
  <c r="S26" i="1"/>
  <c r="S23" i="1"/>
  <c r="S22" i="1"/>
  <c r="S21" i="1"/>
  <c r="S19" i="1"/>
  <c r="S17" i="1"/>
  <c r="S16" i="1"/>
  <c r="S15" i="1"/>
  <c r="S13" i="1"/>
  <c r="G134" i="1" l="1"/>
  <c r="G141" i="1" s="1"/>
  <c r="F134" i="1"/>
  <c r="F141" i="1" s="1"/>
  <c r="U8" i="18"/>
  <c r="U11" i="18" s="1"/>
  <c r="G143" i="1"/>
  <c r="G153" i="1" s="1"/>
  <c r="F143" i="1"/>
  <c r="F153" i="1" s="1"/>
  <c r="V13" i="1"/>
  <c r="V17" i="1"/>
  <c r="V20" i="1"/>
  <c r="S56" i="1"/>
  <c r="C61" i="11"/>
  <c r="S119" i="1"/>
  <c r="C67" i="11"/>
  <c r="B7" i="19"/>
  <c r="P42" i="1"/>
  <c r="S42" i="1" s="1"/>
  <c r="P24" i="1"/>
  <c r="S24" i="1" s="1"/>
  <c r="G155" i="1" l="1"/>
  <c r="F14" i="21" s="1"/>
  <c r="F45" i="21" s="1"/>
  <c r="F155" i="1"/>
  <c r="E14" i="21" s="1"/>
  <c r="B7" i="20"/>
  <c r="C7" i="19"/>
  <c r="C43" i="17"/>
  <c r="C44" i="17" s="1"/>
  <c r="C47" i="17"/>
  <c r="S41" i="1"/>
  <c r="S131" i="1"/>
  <c r="D138" i="1" s="1"/>
  <c r="V41" i="1" l="1"/>
  <c r="B120" i="31"/>
  <c r="C120" i="31" s="1"/>
  <c r="B14" i="19"/>
  <c r="B13" i="19"/>
  <c r="C50" i="17"/>
  <c r="D50" i="17" s="1"/>
  <c r="D55" i="17" s="1"/>
  <c r="D149" i="1"/>
  <c r="B172" i="8"/>
  <c r="D171" i="8"/>
  <c r="B171" i="8"/>
  <c r="B155" i="8"/>
  <c r="D154" i="8"/>
  <c r="B154" i="8"/>
  <c r="B138" i="8"/>
  <c r="D137" i="8"/>
  <c r="B137" i="8"/>
  <c r="B121" i="8"/>
  <c r="D120" i="8"/>
  <c r="B120" i="8"/>
  <c r="B104" i="8"/>
  <c r="D103" i="8"/>
  <c r="B103" i="8"/>
  <c r="B87" i="8"/>
  <c r="D86" i="8"/>
  <c r="B86" i="8"/>
  <c r="B70" i="8"/>
  <c r="D69" i="8"/>
  <c r="B69" i="8"/>
  <c r="B53" i="8"/>
  <c r="D52" i="8"/>
  <c r="B52" i="8"/>
  <c r="B36" i="8"/>
  <c r="D35" i="8"/>
  <c r="B35" i="8"/>
  <c r="E36" i="5"/>
  <c r="F36" i="5"/>
  <c r="BL36" i="5"/>
  <c r="BK36" i="5"/>
  <c r="AN36" i="5"/>
  <c r="AL36" i="5"/>
  <c r="BJ36" i="5"/>
  <c r="BI36" i="5"/>
  <c r="BH36" i="5"/>
  <c r="BG36" i="5"/>
  <c r="BF36" i="5"/>
  <c r="BE36" i="5"/>
  <c r="BD36" i="5"/>
  <c r="BC36" i="5"/>
  <c r="BB36" i="5"/>
  <c r="BA36" i="5"/>
  <c r="AZ36" i="5"/>
  <c r="AY36" i="5"/>
  <c r="AX36" i="5"/>
  <c r="AW36" i="5"/>
  <c r="AV36" i="5"/>
  <c r="AU36" i="5"/>
  <c r="AT36" i="5"/>
  <c r="AS36" i="5"/>
  <c r="AR36" i="5"/>
  <c r="AQ36" i="5"/>
  <c r="AP36" i="5"/>
  <c r="AO36" i="5"/>
  <c r="AM36" i="5"/>
  <c r="AK36" i="5"/>
  <c r="AJ36" i="5"/>
  <c r="AI36" i="5"/>
  <c r="AH36" i="5"/>
  <c r="AG36" i="5"/>
  <c r="AF36" i="5"/>
  <c r="AE36" i="5"/>
  <c r="AD36" i="5"/>
  <c r="AC36" i="5"/>
  <c r="AB36" i="5"/>
  <c r="AA36" i="5"/>
  <c r="Z36" i="5"/>
  <c r="Y36" i="5"/>
  <c r="X36" i="5"/>
  <c r="W36" i="5"/>
  <c r="V36" i="5"/>
  <c r="U36" i="5"/>
  <c r="T36" i="5"/>
  <c r="S36" i="5"/>
  <c r="R36" i="5"/>
  <c r="Q36" i="5"/>
  <c r="P36" i="5"/>
  <c r="O36" i="5"/>
  <c r="N36" i="5"/>
  <c r="M36" i="5"/>
  <c r="L36" i="5"/>
  <c r="K36" i="5"/>
  <c r="J36" i="5"/>
  <c r="I36" i="5"/>
  <c r="H36" i="5"/>
  <c r="G36" i="5"/>
  <c r="S130" i="1"/>
  <c r="S123" i="1"/>
  <c r="S126" i="1"/>
  <c r="S125" i="1"/>
  <c r="S124" i="1"/>
  <c r="S118" i="1"/>
  <c r="S117" i="1"/>
  <c r="S116" i="1"/>
  <c r="S109" i="1"/>
  <c r="S108" i="1"/>
  <c r="S107" i="1"/>
  <c r="S100" i="1"/>
  <c r="S99" i="1"/>
  <c r="S98" i="1"/>
  <c r="S82" i="1"/>
  <c r="S81" i="1"/>
  <c r="S80" i="1"/>
  <c r="S73" i="1"/>
  <c r="S72" i="1"/>
  <c r="S71" i="1"/>
  <c r="S64" i="1"/>
  <c r="S63" i="1"/>
  <c r="S62" i="1"/>
  <c r="S55" i="1"/>
  <c r="S54" i="1"/>
  <c r="S47" i="1"/>
  <c r="V15" i="1" s="1"/>
  <c r="S46" i="1"/>
  <c r="S45" i="1"/>
  <c r="S38" i="1"/>
  <c r="S37" i="1"/>
  <c r="D151" i="1" s="1"/>
  <c r="S36" i="1"/>
  <c r="S65" i="1"/>
  <c r="S91" i="1"/>
  <c r="S90" i="1"/>
  <c r="F52" i="8" l="1"/>
  <c r="F103" i="8"/>
  <c r="F171" i="8"/>
  <c r="H174" i="8" s="1"/>
  <c r="G174" i="8" s="1"/>
  <c r="F154" i="8"/>
  <c r="H157" i="8" s="1"/>
  <c r="G157" i="8" s="1"/>
  <c r="F120" i="8"/>
  <c r="H123" i="8" s="1"/>
  <c r="G123" i="8" s="1"/>
  <c r="B16" i="19"/>
  <c r="B17" i="19" s="1"/>
  <c r="F17" i="19" s="1"/>
  <c r="S121" i="1"/>
  <c r="I175" i="8"/>
  <c r="I160" i="8" s="1"/>
  <c r="F137" i="8"/>
  <c r="H140" i="8" s="1"/>
  <c r="G140" i="8" s="1"/>
  <c r="F86" i="8"/>
  <c r="I90" i="8" s="1"/>
  <c r="F69" i="8"/>
  <c r="I73" i="8" s="1"/>
  <c r="S83" i="1"/>
  <c r="S92" i="1"/>
  <c r="S110" i="1"/>
  <c r="F35" i="8"/>
  <c r="H38" i="8" s="1"/>
  <c r="G38" i="8" s="1"/>
  <c r="S101" i="1"/>
  <c r="S74" i="1"/>
  <c r="H55" i="8"/>
  <c r="G55" i="8" s="1"/>
  <c r="I56" i="8"/>
  <c r="I107" i="8"/>
  <c r="H106" i="8"/>
  <c r="G106" i="8" s="1"/>
  <c r="I124" i="8" l="1"/>
  <c r="I158" i="8"/>
  <c r="I143" i="8" s="1"/>
  <c r="I141" i="8"/>
  <c r="H72" i="8"/>
  <c r="G72" i="8" s="1"/>
  <c r="D134" i="1"/>
  <c r="D141" i="1" s="1"/>
  <c r="F16" i="19"/>
  <c r="E31" i="21"/>
  <c r="G31" i="21" s="1"/>
  <c r="D143" i="1"/>
  <c r="D153" i="1" s="1"/>
  <c r="I109" i="8"/>
  <c r="H89" i="8"/>
  <c r="G89" i="8" s="1"/>
  <c r="H179" i="8"/>
  <c r="I39" i="8"/>
  <c r="I24" i="8" s="1"/>
  <c r="G21" i="8"/>
  <c r="I126" i="8"/>
  <c r="I92" i="8"/>
  <c r="I75" i="8"/>
  <c r="I7" i="8"/>
  <c r="I41" i="8"/>
  <c r="I58" i="8"/>
  <c r="E43" i="21" l="1"/>
  <c r="E45" i="21" s="1"/>
  <c r="G43" i="21"/>
  <c r="D155" i="1"/>
  <c r="G14" i="21" s="1"/>
  <c r="H178" i="8"/>
  <c r="G45" i="21" l="1"/>
  <c r="B11" i="20"/>
  <c r="C15" i="20" s="1"/>
  <c r="C24" i="20" s="1"/>
  <c r="B26" i="20" s="1"/>
  <c r="B28" i="20" s="1"/>
  <c r="U118" i="31" l="1"/>
  <c r="C119" i="31" s="1"/>
  <c r="C122" i="31" l="1"/>
  <c r="B137" i="31" s="1"/>
  <c r="B141" i="31" s="1"/>
</calcChain>
</file>

<file path=xl/sharedStrings.xml><?xml version="1.0" encoding="utf-8"?>
<sst xmlns="http://schemas.openxmlformats.org/spreadsheetml/2006/main" count="1732" uniqueCount="1015">
  <si>
    <t>T</t>
  </si>
  <si>
    <t>AL</t>
  </si>
  <si>
    <t>S</t>
  </si>
  <si>
    <t>P</t>
  </si>
  <si>
    <t>AK</t>
  </si>
  <si>
    <t>NP</t>
  </si>
  <si>
    <t>J</t>
  </si>
  <si>
    <t>AZ</t>
  </si>
  <si>
    <t>AR</t>
  </si>
  <si>
    <t>CA</t>
  </si>
  <si>
    <t>CO</t>
  </si>
  <si>
    <t>CT</t>
  </si>
  <si>
    <t>DC</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</si>
  <si>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</si>
  <si>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</si>
  <si>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</si>
  <si>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</si>
  <si>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</si>
  <si>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</si>
  <si>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</si>
  <si>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</si>
  <si>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</si>
  <si>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</si>
  <si>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</si>
  <si>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</si>
  <si>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</si>
  <si>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</si>
  <si>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</si>
  <si>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</si>
  <si>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</si>
  <si>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</si>
  <si>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</si>
  <si>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</si>
  <si>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</si>
  <si>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</si>
  <si>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</si>
  <si>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</si>
  <si>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</si>
  <si>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</si>
  <si>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</si>
  <si>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</si>
  <si>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</si>
  <si>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</si>
  <si>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</si>
  <si>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</si>
  <si>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</si>
  <si>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</si>
  <si>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</si>
  <si>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</si>
  <si>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</si>
  <si>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</si>
  <si>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</si>
  <si>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</si>
  <si>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</si>
  <si>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</si>
  <si>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</si>
  <si>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ONLY INPUT IN HIGHLIGHTED CELLS</t>
  </si>
  <si>
    <t>GREY SHADED CELLS ARE FORMULAS. DO NOT EDIT</t>
  </si>
  <si>
    <t>Tax Return ID</t>
  </si>
  <si>
    <t>2024I:1234567.001:V5</t>
  </si>
  <si>
    <r>
      <t>Format Example:</t>
    </r>
    <r>
      <rPr>
        <b/>
        <sz val="11"/>
        <color theme="1"/>
        <rFont val="Calibri"/>
        <family val="2"/>
        <scheme val="minor"/>
      </rPr>
      <t xml:space="preserve"> 1234567.001:</t>
    </r>
    <r>
      <rPr>
        <b/>
        <u/>
        <sz val="11"/>
        <color theme="1"/>
        <rFont val="Calibri"/>
        <family val="2"/>
        <scheme val="minor"/>
      </rPr>
      <t>V1</t>
    </r>
  </si>
  <si>
    <t>Line #</t>
  </si>
  <si>
    <t>Description</t>
  </si>
  <si>
    <t>Total</t>
  </si>
  <si>
    <t>RPA Validation Against CCH Tax</t>
  </si>
  <si>
    <t>1a</t>
  </si>
  <si>
    <t>Wages</t>
  </si>
  <si>
    <t>2b</t>
  </si>
  <si>
    <t>Taxable interest</t>
  </si>
  <si>
    <t>3b</t>
  </si>
  <si>
    <t>Ordinary dividends</t>
  </si>
  <si>
    <t>4b</t>
  </si>
  <si>
    <t>IRA distributions</t>
  </si>
  <si>
    <t>5b</t>
  </si>
  <si>
    <t>Pensions and annuities</t>
  </si>
  <si>
    <t>6b</t>
  </si>
  <si>
    <t>Social security benefits</t>
  </si>
  <si>
    <t>Capital gain/loss</t>
  </si>
  <si>
    <t>Schedule 1 Income</t>
  </si>
  <si>
    <t>Schedule C</t>
  </si>
  <si>
    <t>Form 4797</t>
  </si>
  <si>
    <t>Schedule E, Page 1</t>
  </si>
  <si>
    <t>Schedule E, Page 2</t>
  </si>
  <si>
    <t>Schedule F</t>
  </si>
  <si>
    <t>Other Income</t>
  </si>
  <si>
    <t>Schedule 1 Income Subtotal</t>
  </si>
  <si>
    <r>
      <t xml:space="preserve">Schedule 1 Adjustments </t>
    </r>
    <r>
      <rPr>
        <b/>
        <sz val="11"/>
        <color theme="1"/>
        <rFont val="Calibri"/>
        <family val="2"/>
        <scheme val="minor"/>
      </rPr>
      <t>(Enter as Negative)</t>
    </r>
  </si>
  <si>
    <t>Educator expenses</t>
  </si>
  <si>
    <t>Health savings account deduction</t>
  </si>
  <si>
    <t>Deductible self-employment tax</t>
  </si>
  <si>
    <t>Self-employed retirement contr</t>
  </si>
  <si>
    <t>Penalty on early withdrawal of savings</t>
  </si>
  <si>
    <t>Alimony paid</t>
  </si>
  <si>
    <t>IRA deduction</t>
  </si>
  <si>
    <t>Student loan interest deduction</t>
  </si>
  <si>
    <t>Other Adjustment</t>
  </si>
  <si>
    <t>Schedule 1 Adjustments Subtotal</t>
  </si>
  <si>
    <t>Adjusted Gross Income</t>
  </si>
  <si>
    <t>25a</t>
  </si>
  <si>
    <t>Federal Withholding - W-2</t>
  </si>
  <si>
    <t>25b</t>
  </si>
  <si>
    <t>Federal Withholding - 1099</t>
  </si>
  <si>
    <t>25c</t>
  </si>
  <si>
    <t>Federal Withholding - Other</t>
  </si>
  <si>
    <t>25d</t>
  </si>
  <si>
    <t>Federal Withholding - Total</t>
  </si>
  <si>
    <t>Max SS Tax Earnings</t>
  </si>
  <si>
    <t>If you are going to use the RPA to import into Axcess Tax, please put “Ready for RPA” in the RPA comment row for the column that is ready to import.  For convenience, you can copy/paste "Ready for RPA" from A6.</t>
  </si>
  <si>
    <t xml:space="preserve"> </t>
  </si>
  <si>
    <t>SS Tax Rate:</t>
  </si>
  <si>
    <t>Max SS Tax:</t>
  </si>
  <si>
    <t>RPA Comment</t>
  </si>
  <si>
    <t>Ready for RPA</t>
  </si>
  <si>
    <t>Taxpayer or Spouse?</t>
  </si>
  <si>
    <t>Employer EIN</t>
  </si>
  <si>
    <t>Employer Name</t>
  </si>
  <si>
    <t>Employer Street Address</t>
  </si>
  <si>
    <t>Employer City</t>
  </si>
  <si>
    <t>Employer State</t>
  </si>
  <si>
    <t>Employer Zip Code</t>
  </si>
  <si>
    <t>Control Number</t>
  </si>
  <si>
    <t>(1) Wages</t>
  </si>
  <si>
    <t>(2) Federal W/H</t>
  </si>
  <si>
    <t>(3) SS Wages</t>
  </si>
  <si>
    <t>(4) SS W/H</t>
  </si>
  <si>
    <t>(5) MC Wages</t>
  </si>
  <si>
    <t>(6) MC W/H</t>
  </si>
  <si>
    <t>(7) SS Tips</t>
  </si>
  <si>
    <t>(8) Allocated tips</t>
  </si>
  <si>
    <t>(10) Dependent care benefits</t>
  </si>
  <si>
    <t>(11) NQ plans</t>
  </si>
  <si>
    <t>(12A) Uncollected SS or RRTA Tax on Tips</t>
  </si>
  <si>
    <t>(12B) Uncollected Medicare Tax on Tips</t>
  </si>
  <si>
    <t xml:space="preserve">(12C) Taxable cost of Group Life Ins </t>
  </si>
  <si>
    <t>(12D) 401(k) Deferrals</t>
  </si>
  <si>
    <t>(12E) 403(b) Deferrals</t>
  </si>
  <si>
    <t>(12G) 457(b) Deferrals</t>
  </si>
  <si>
    <t>(12V) Inc from Exercise of NSO</t>
  </si>
  <si>
    <t>(12W) Health Savings Acct Contr</t>
  </si>
  <si>
    <t>(12AA) Roth 401(k) Contributions</t>
  </si>
  <si>
    <t>(12BB) Roth 403(b) Contributions</t>
  </si>
  <si>
    <t>(12DD) Health Ins</t>
  </si>
  <si>
    <t>(13) Statutory Employee</t>
  </si>
  <si>
    <t>(13) Retirement Plan</t>
  </si>
  <si>
    <t>(13) 3rd Party Sick Pay</t>
  </si>
  <si>
    <t>(14) S Corp Hlth Ins</t>
  </si>
  <si>
    <t>(15) State</t>
  </si>
  <si>
    <t>(16) State Wages</t>
  </si>
  <si>
    <t>(17) State W/H</t>
  </si>
  <si>
    <t>(18) Local Wages</t>
  </si>
  <si>
    <t>(19) Local W/H</t>
  </si>
  <si>
    <t>City Code</t>
  </si>
  <si>
    <t>Taxpayer</t>
  </si>
  <si>
    <t>Spouse</t>
  </si>
  <si>
    <t>Social security wages</t>
  </si>
  <si>
    <t>Social security tips</t>
  </si>
  <si>
    <t>Subtotal</t>
  </si>
  <si>
    <t>Social security tax rate</t>
  </si>
  <si>
    <t>Calculated social security tax</t>
  </si>
  <si>
    <t>Social security W/H on W-2</t>
  </si>
  <si>
    <t>Medicare wages</t>
  </si>
  <si>
    <t>Medicare tax rate</t>
  </si>
  <si>
    <t>Calculated medicare tax</t>
  </si>
  <si>
    <t>Medicare tax W/H on W-2</t>
  </si>
  <si>
    <t>Threshold</t>
  </si>
  <si>
    <t>Excess medicare wages</t>
  </si>
  <si>
    <t>Additional MC tax rate</t>
  </si>
  <si>
    <t>Additional MC tax</t>
  </si>
  <si>
    <t>If you are going to use the RPA to import into Axcess Tax, please put “Ready for RPA” in the RPA comment row for the column that is ready to import.  For convenience, you can copy/paste "Ready for RPA" from B5.</t>
  </si>
  <si>
    <t>1-INT</t>
  </si>
  <si>
    <t>2-DIV</t>
  </si>
  <si>
    <t>3-CONSOLIDATED</t>
  </si>
  <si>
    <t>Taxpayer, spouse, or joint</t>
  </si>
  <si>
    <t>1099 Type (1-INT, 2-DIV, 3-CONSOLIDTED)</t>
  </si>
  <si>
    <t>Payer Name</t>
  </si>
  <si>
    <t>K-1 Total</t>
  </si>
  <si>
    <t>Payer EIN</t>
  </si>
  <si>
    <t>Account #</t>
  </si>
  <si>
    <t>Box 1: Interest Income</t>
  </si>
  <si>
    <t>Schedule B</t>
  </si>
  <si>
    <t>Taxable Int Total</t>
  </si>
  <si>
    <t>PLUS: OID</t>
  </si>
  <si>
    <t>PLUS: Discount</t>
  </si>
  <si>
    <t>T/E Int Total</t>
  </si>
  <si>
    <r>
      <t xml:space="preserve">LESS: Accrued Interest Paid </t>
    </r>
    <r>
      <rPr>
        <b/>
        <sz val="11"/>
        <color theme="1"/>
        <rFont val="Calibri"/>
        <family val="2"/>
        <scheme val="minor"/>
      </rPr>
      <t>(Enter as negative)</t>
    </r>
  </si>
  <si>
    <r>
      <t xml:space="preserve">LESS: Premium </t>
    </r>
    <r>
      <rPr>
        <b/>
        <sz val="11"/>
        <color theme="1"/>
        <rFont val="Calibri"/>
        <family val="2"/>
        <scheme val="minor"/>
      </rPr>
      <t>(Enter as negative)</t>
    </r>
  </si>
  <si>
    <t>Total SPAB Int Total</t>
  </si>
  <si>
    <t>Box 2: Early withdrawal penalty</t>
  </si>
  <si>
    <t>Schedule 1, Line 18</t>
  </si>
  <si>
    <t>Box 3: US Gov Interest</t>
  </si>
  <si>
    <t>Plus: US Gov OID</t>
  </si>
  <si>
    <t>US Gov Int Total</t>
  </si>
  <si>
    <t>Plus: US Gov Discount</t>
  </si>
  <si>
    <r>
      <t>LESS: US Gov Accrued Interest Paid</t>
    </r>
    <r>
      <rPr>
        <b/>
        <sz val="11"/>
        <color theme="1"/>
        <rFont val="Calibri"/>
        <family val="2"/>
        <scheme val="minor"/>
      </rPr>
      <t xml:space="preserve"> (Enter as negative)</t>
    </r>
  </si>
  <si>
    <r>
      <t xml:space="preserve">LESS: US Gov Premium </t>
    </r>
    <r>
      <rPr>
        <b/>
        <sz val="11"/>
        <color theme="1"/>
        <rFont val="Calibri"/>
        <family val="2"/>
        <scheme val="minor"/>
      </rPr>
      <t>(Enter as negative)</t>
    </r>
  </si>
  <si>
    <t>Box 8: Tax-Exempt Interest</t>
  </si>
  <si>
    <t>Plus: T/E OID</t>
  </si>
  <si>
    <t>PLUS: T/E Discount</t>
  </si>
  <si>
    <r>
      <t>LESS: T/E Accrued Interest Paid</t>
    </r>
    <r>
      <rPr>
        <b/>
        <sz val="11"/>
        <color theme="1"/>
        <rFont val="Calibri"/>
        <family val="2"/>
        <scheme val="minor"/>
      </rPr>
      <t xml:space="preserve"> (Enter as negative)</t>
    </r>
  </si>
  <si>
    <r>
      <t xml:space="preserve">LESS: T/E Premium </t>
    </r>
    <r>
      <rPr>
        <b/>
        <sz val="11"/>
        <color theme="1"/>
        <rFont val="Calibri"/>
        <family val="2"/>
        <scheme val="minor"/>
      </rPr>
      <t>(Enter as negative)</t>
    </r>
  </si>
  <si>
    <t>Box 9: Specified Private Activity</t>
  </si>
  <si>
    <t>Form 6251</t>
  </si>
  <si>
    <t>PLUS: SPAB OID</t>
  </si>
  <si>
    <t>PLUS: SPAB Discount</t>
  </si>
  <si>
    <r>
      <t xml:space="preserve">LESS: SPAB Accrued Int Paid </t>
    </r>
    <r>
      <rPr>
        <b/>
        <sz val="11"/>
        <color theme="1"/>
        <rFont val="Calibri"/>
        <family val="2"/>
        <scheme val="minor"/>
      </rPr>
      <t>(Enter as negative)</t>
    </r>
  </si>
  <si>
    <r>
      <t xml:space="preserve">LESS: SPAB Premium </t>
    </r>
    <r>
      <rPr>
        <b/>
        <sz val="11"/>
        <color theme="1"/>
        <rFont val="Calibri"/>
        <family val="2"/>
        <scheme val="minor"/>
      </rPr>
      <t>(Enter as negative)</t>
    </r>
  </si>
  <si>
    <t>Box 1a: Ordinary Div</t>
  </si>
  <si>
    <t>Box 1b: Qualified Div</t>
  </si>
  <si>
    <t>Form 1040 Line 9b</t>
  </si>
  <si>
    <t>Box 2a: Captial Gain Dist</t>
  </si>
  <si>
    <t>Schedule D</t>
  </si>
  <si>
    <t>Box 2b: 1250 Gain</t>
  </si>
  <si>
    <t>Box 2c: 1202 Gain</t>
  </si>
  <si>
    <t>Box 2d : Collectibles (28%) Gain</t>
  </si>
  <si>
    <t>Box 5: Section 199A Dividends</t>
  </si>
  <si>
    <t>Form 8995</t>
  </si>
  <si>
    <t>QBID Deduction</t>
  </si>
  <si>
    <t>Box 7: Foreign Tax Paid</t>
  </si>
  <si>
    <t>Form 1116</t>
  </si>
  <si>
    <t>Foreign Ordinary Dividends (Form 1116)</t>
  </si>
  <si>
    <t>Foreign Qualified Dividends (Form 1116)</t>
  </si>
  <si>
    <t>Box 9: Cash Liquidation Distributions</t>
  </si>
  <si>
    <t>Box 10: Non-cash Liquidation Distributions</t>
  </si>
  <si>
    <t>Box 12: Exempt-Interest Dividends</t>
  </si>
  <si>
    <t>Box 13: Specified Private Activity Div</t>
  </si>
  <si>
    <t>Short Term Type A (Covered, No Adj)</t>
  </si>
  <si>
    <t>Date Acquired</t>
  </si>
  <si>
    <t>99/99/99</t>
  </si>
  <si>
    <t>Date Sold</t>
  </si>
  <si>
    <t>Proceeds</t>
  </si>
  <si>
    <t>Schedule D, Line 1a</t>
  </si>
  <si>
    <t>Basis</t>
  </si>
  <si>
    <t>Gain/(loss)</t>
  </si>
  <si>
    <t>Short Term Type A (Covered, Adj)</t>
  </si>
  <si>
    <t>Schedule D, Line 1b</t>
  </si>
  <si>
    <t>Adjustments</t>
  </si>
  <si>
    <t>Short Term Type B (Non-covered)</t>
  </si>
  <si>
    <t>Schedule D, Line 2</t>
  </si>
  <si>
    <t>Short Term Type C (No 1099-B)</t>
  </si>
  <si>
    <t>Schedule D, Line 3</t>
  </si>
  <si>
    <t>Long Term Type D (Covered, No Adj)</t>
  </si>
  <si>
    <t>Schedule D, Line 8a</t>
  </si>
  <si>
    <t>Long Term Type D (Covered, Adj)</t>
  </si>
  <si>
    <t>Schedule D, Line 8b</t>
  </si>
  <si>
    <t>Long Term Type E (Non-covered)</t>
  </si>
  <si>
    <t>Schedule D, Line 9</t>
  </si>
  <si>
    <t>Long Term Type F (No 1099-B)</t>
  </si>
  <si>
    <t>Schedule D, Line 10</t>
  </si>
  <si>
    <t>Gross Proceeds Form 1099-B</t>
  </si>
  <si>
    <t>Check that all proceeds reported on Schedule D</t>
  </si>
  <si>
    <t>Margin Interest</t>
  </si>
  <si>
    <t>Schedule A interest expense</t>
  </si>
  <si>
    <t>Advisory Fees</t>
  </si>
  <si>
    <t>Not currently deductible on Schedule A.</t>
  </si>
  <si>
    <t>IL Subtraction</t>
  </si>
  <si>
    <t>IL 1040 Sch M</t>
  </si>
  <si>
    <t>Abbott Laboratories Dividends</t>
  </si>
  <si>
    <t>1299-C</t>
  </si>
  <si>
    <t>AbbVie Inc. Dividends</t>
  </si>
  <si>
    <t>Caterpillar Inc. Dividends</t>
  </si>
  <si>
    <t>Walgreens Dividends</t>
  </si>
  <si>
    <t>Federal Income tax withheld</t>
  </si>
  <si>
    <t>Form 1040</t>
  </si>
  <si>
    <t>Section 1256 Options/Contracts</t>
  </si>
  <si>
    <t>Form 6781</t>
  </si>
  <si>
    <t>TOTAL</t>
  </si>
  <si>
    <t>Short Term Total Gain/Loss</t>
  </si>
  <si>
    <t>ST Gain from Form 6252</t>
  </si>
  <si>
    <t>ST Gain from Form 4684</t>
  </si>
  <si>
    <t>ST Gain from Form 8824</t>
  </si>
  <si>
    <t>ST Gain from Form 6781 (40% treated as ST)</t>
  </si>
  <si>
    <t>ST Gain/Loss from K-1s</t>
  </si>
  <si>
    <t>ST Carryover</t>
  </si>
  <si>
    <t>Total Short Term</t>
  </si>
  <si>
    <t>Long Term Total Gain/Loss</t>
  </si>
  <si>
    <t>LT Gain from Form 4797</t>
  </si>
  <si>
    <t>LT Gain from Form 2439</t>
  </si>
  <si>
    <t>LT Gain from Form 6252</t>
  </si>
  <si>
    <t>LT Gain from Form 4684</t>
  </si>
  <si>
    <t>LT Gain from Form 8824</t>
  </si>
  <si>
    <t>LT Gain from Form 6781 (60% treated as LT)</t>
  </si>
  <si>
    <t>LT Gain/Loss from K-1s</t>
  </si>
  <si>
    <t>Capital Gain Distr</t>
  </si>
  <si>
    <t>LT Carryover</t>
  </si>
  <si>
    <t>Total Long Term</t>
  </si>
  <si>
    <t>If you are going to use the RPA to import into Axcess Tax, please put “Ready for RPA” in the RPA Comment row for the column that is ready to import.  For convenience, you can copy/paste "Ready for RPA" from A5.</t>
  </si>
  <si>
    <t>Payer Street Address</t>
  </si>
  <si>
    <t>Payer City</t>
  </si>
  <si>
    <t>Payer State</t>
  </si>
  <si>
    <t>Payer Zip Code</t>
  </si>
  <si>
    <t>(1) Gross distributions-IRA</t>
  </si>
  <si>
    <t>(2) Taxable amount-IRA</t>
  </si>
  <si>
    <t>(1) Gross distributions-Non IRA</t>
  </si>
  <si>
    <t>(2) Taxable amount-Non IRA</t>
  </si>
  <si>
    <t>(2a) Taxable amount not determined</t>
  </si>
  <si>
    <t>(2b) Total distribution</t>
  </si>
  <si>
    <t>(3) Capital gain</t>
  </si>
  <si>
    <t>(4) Federal tax withheld</t>
  </si>
  <si>
    <t>(5) Employee contr/Roth contr</t>
  </si>
  <si>
    <t>(6) Net unrealized appreciation</t>
  </si>
  <si>
    <t>(7) Distribution code(s)</t>
  </si>
  <si>
    <t>IRA/SEP/SIMPLE</t>
  </si>
  <si>
    <t>(8) Other</t>
  </si>
  <si>
    <t>(9a) Your percentage of total distribution</t>
  </si>
  <si>
    <t>(9b) Total employee contributions</t>
  </si>
  <si>
    <t>(10) Amount allocable to IRR within 5 years</t>
  </si>
  <si>
    <t>(11) 1st year of desig. Roth contrib.</t>
  </si>
  <si>
    <t>(12) FATCA filing requirement</t>
  </si>
  <si>
    <t>(13) Date of payment</t>
  </si>
  <si>
    <t>(14) State tax withheld</t>
  </si>
  <si>
    <t>(15) State/Payer's state no.</t>
  </si>
  <si>
    <t>(16) State distribution</t>
  </si>
  <si>
    <t>(17) Local tax withheld</t>
  </si>
  <si>
    <t>(18) Name of locality</t>
  </si>
  <si>
    <t>(19) Local distribution</t>
  </si>
  <si>
    <t>Code</t>
  </si>
  <si>
    <t>(1) Early distribution, no known exception (in most cases, under age 59-1/2). (See Form 5329) For a rollover to a traditional IRA of the entire taxable part of the distribution, do not file Form 5329.  See the instructions for Form 1040; (2) Distribution for medical expenses, health insurance premiums, qualified higher education expenses, a first-time  home purchase, a qualified reservist distribution, or a qualified birth or adoption distribution under section 72(t)(2)(B), (D), (E), (F), (G), or (H); (3) taxpayer who is 59-1/2 or older and who modifies a series of substantially equal periodic payments under section 72(q), (t), or (v) prior to the end of the 5-year period which began with the first payment.</t>
  </si>
  <si>
    <t>Early distribution, exception applies (under age 59-1/2).</t>
  </si>
  <si>
    <t>Disability per section 72(m)(7).</t>
  </si>
  <si>
    <t>Death.</t>
  </si>
  <si>
    <t>Prohibited transaction involving an IRA account, i.e., the account is no longer an IRA.</t>
  </si>
  <si>
    <r>
      <t>Section 1035 exchange (</t>
    </r>
    <r>
      <rPr>
        <i/>
        <sz val="11"/>
        <rFont val="Calibri"/>
        <family val="2"/>
        <scheme val="minor"/>
      </rPr>
      <t>a tax-free exchange of life insurance, annuity, qualified long-term care insurance, or endowment contracts</t>
    </r>
    <r>
      <rPr>
        <sz val="11"/>
        <rFont val="Calibri"/>
        <family val="2"/>
        <scheme val="minor"/>
      </rPr>
      <t>).</t>
    </r>
  </si>
  <si>
    <t>Normal distribution.</t>
  </si>
  <si>
    <t>Excess contributions plus earnings/excess deferrals (and/or earnings) taxable in current tax year.</t>
  </si>
  <si>
    <t>Cost of current life insurance protection.</t>
  </si>
  <si>
    <t>A</t>
  </si>
  <si>
    <t>May be eligible for 10-year tax option. (See Form 4972).</t>
  </si>
  <si>
    <t>B</t>
  </si>
  <si>
    <t>Designated Roth account distribution. (If an amount is also reported in box 10, see the Instructions for Form 5329 and Publication 575.)</t>
  </si>
  <si>
    <t>C</t>
  </si>
  <si>
    <t>Reportable death benefits under section 6050Y.</t>
  </si>
  <si>
    <t>D</t>
  </si>
  <si>
    <t>Annuity payments from nonqualified annuities and distributions from life insurance contracts that may be subject to tax under section 1411 (a distribution from any plan or arrangement not described in section 401(a), 403(a), 403(b), 408, 408A, or 457(b).</t>
  </si>
  <si>
    <t>E</t>
  </si>
  <si>
    <t>Distributions under Employee Plans Compliance Resolution System (EPCRS).</t>
  </si>
  <si>
    <t>F</t>
  </si>
  <si>
    <t>Charitable gift annuity.</t>
  </si>
  <si>
    <t>G</t>
  </si>
  <si>
    <t>(1) Direct rollover of a distribution from and to a qualified plan, a section 403(b) plan, a governmental section 457(b) plan, or an IRA; (2) a direct payment from an IRA to an accepting employer plan; (3) An In-Plan Roth Rollover (IRR) that is a direct rollover.</t>
  </si>
  <si>
    <t>H</t>
  </si>
  <si>
    <t>Direct rollover of a designated Roth account distribution to a Roth IRA.</t>
  </si>
  <si>
    <t>Early distribution from a Roth IRA, no known exception (in most cases, under age 59 1/2), assuming codes Q or T do not apply.</t>
  </si>
  <si>
    <t>K</t>
  </si>
  <si>
    <t>Distribution of traditional IRA assets not having a readily available FMV.</t>
  </si>
  <si>
    <t>L</t>
  </si>
  <si>
    <t>Loans treated as deemed distributions under section 72(p).</t>
  </si>
  <si>
    <t>M</t>
  </si>
  <si>
    <t>Qualified plan loan offset.</t>
  </si>
  <si>
    <t>N</t>
  </si>
  <si>
    <t>Recharacterized IRA contribution made for the current tax year and recharacterized in the current tax year.</t>
  </si>
  <si>
    <t>Excess contributions plus earnings/excess deferrals taxable in the preceding tax year.</t>
  </si>
  <si>
    <t>Q</t>
  </si>
  <si>
    <t>Qualified distribution from a Roth IRA.</t>
  </si>
  <si>
    <t>R</t>
  </si>
  <si>
    <t>Recharacterized IRA contribution made for the prior tax year and recharacterized in the current tax year.</t>
  </si>
  <si>
    <t>Early distribution from a SIMPLE IRA in the first 2 years, no known exception (in most cases, under age 59-1/2).</t>
  </si>
  <si>
    <t>Roth IRA distribution, exception applies.</t>
  </si>
  <si>
    <t>U</t>
  </si>
  <si>
    <t>Dividend distributed from ESOP under section 404(k).</t>
  </si>
  <si>
    <t>W</t>
  </si>
  <si>
    <t>Charges or payments for purchasing qualified long-term care insurance contracts under combined arrangements.</t>
  </si>
  <si>
    <t>Box 3 - Benefits Paid</t>
  </si>
  <si>
    <t>Box 4 - Benefits Repaid to SSA</t>
  </si>
  <si>
    <t>Box 5 - Net Benefits</t>
  </si>
  <si>
    <t>Box 3 Detail - Medicare premiums</t>
  </si>
  <si>
    <t>Box 6 - Voluntary Federal Withholding</t>
  </si>
  <si>
    <t>Medicare Premiums Withheld</t>
  </si>
  <si>
    <t>Prescription Drug Coverage Insurance</t>
  </si>
  <si>
    <t>Maximum Taxable</t>
  </si>
  <si>
    <t>*Less may be taxable, depending on level of income.  The maximum taxable amount is provided for reference.</t>
  </si>
  <si>
    <t>Amount per Software</t>
  </si>
  <si>
    <t>**Update B13 &amp; C13 as needed</t>
  </si>
  <si>
    <t>If you are going to use the RPA to import into Axcess Tax, please put “Ready for RPA” in the RPA comment row for the column that is ready to import.  For convenience, you can copy/paste "Ready for RPA" from the cell A5.</t>
  </si>
  <si>
    <t>S-corp K-1</t>
  </si>
  <si>
    <t>5a</t>
  </si>
  <si>
    <t>8a</t>
  </si>
  <si>
    <t>8b</t>
  </si>
  <si>
    <t>8c</t>
  </si>
  <si>
    <t>10a</t>
  </si>
  <si>
    <t>10b</t>
  </si>
  <si>
    <t>10c</t>
  </si>
  <si>
    <t>10e</t>
  </si>
  <si>
    <t>10f</t>
  </si>
  <si>
    <t>10g</t>
  </si>
  <si>
    <t>10h</t>
  </si>
  <si>
    <t>12a</t>
  </si>
  <si>
    <t>12b</t>
  </si>
  <si>
    <t>12c</t>
  </si>
  <si>
    <t>12d</t>
  </si>
  <si>
    <t>12e</t>
  </si>
  <si>
    <t>12f</t>
  </si>
  <si>
    <t>12g</t>
  </si>
  <si>
    <t>12h</t>
  </si>
  <si>
    <t>12i</t>
  </si>
  <si>
    <t>12j</t>
  </si>
  <si>
    <t>12k</t>
  </si>
  <si>
    <t>12l</t>
  </si>
  <si>
    <t>12s</t>
  </si>
  <si>
    <t>14f</t>
  </si>
  <si>
    <t>14p</t>
  </si>
  <si>
    <t>15a</t>
  </si>
  <si>
    <t>15b</t>
  </si>
  <si>
    <t>15c</t>
  </si>
  <si>
    <t>15d</t>
  </si>
  <si>
    <t>15e</t>
  </si>
  <si>
    <t>15f</t>
  </si>
  <si>
    <t>16a</t>
  </si>
  <si>
    <t>16b</t>
  </si>
  <si>
    <t>16c</t>
  </si>
  <si>
    <t>16d</t>
  </si>
  <si>
    <t>17v</t>
  </si>
  <si>
    <t>17w</t>
  </si>
  <si>
    <t>17x</t>
  </si>
  <si>
    <t>17y</t>
  </si>
  <si>
    <t>17z</t>
  </si>
  <si>
    <t>17aa</t>
  </si>
  <si>
    <t>17ab</t>
  </si>
  <si>
    <t>Partnership K-1</t>
  </si>
  <si>
    <t>6a</t>
  </si>
  <si>
    <t>9a</t>
  </si>
  <si>
    <t>9b</t>
  </si>
  <si>
    <t>9c</t>
  </si>
  <si>
    <t>11a</t>
  </si>
  <si>
    <t>11b</t>
  </si>
  <si>
    <t>11c</t>
  </si>
  <si>
    <t>11e</t>
  </si>
  <si>
    <t>11f</t>
  </si>
  <si>
    <t>11g</t>
  </si>
  <si>
    <t>11h</t>
  </si>
  <si>
    <t>11i</t>
  </si>
  <si>
    <t>13a</t>
  </si>
  <si>
    <t>13b</t>
  </si>
  <si>
    <t>13c</t>
  </si>
  <si>
    <t>13d</t>
  </si>
  <si>
    <t>13e</t>
  </si>
  <si>
    <t>13f</t>
  </si>
  <si>
    <t>13g</t>
  </si>
  <si>
    <t>13h</t>
  </si>
  <si>
    <t>13i</t>
  </si>
  <si>
    <t>13j</t>
  </si>
  <si>
    <t>13k</t>
  </si>
  <si>
    <t>13l</t>
  </si>
  <si>
    <t>13m</t>
  </si>
  <si>
    <t>13w</t>
  </si>
  <si>
    <t>14a</t>
  </si>
  <si>
    <t>14b</t>
  </si>
  <si>
    <t>14c</t>
  </si>
  <si>
    <t>16f</t>
  </si>
  <si>
    <t>16p</t>
  </si>
  <si>
    <t>17a</t>
  </si>
  <si>
    <t>17b</t>
  </si>
  <si>
    <t>17c</t>
  </si>
  <si>
    <t>17d</t>
  </si>
  <si>
    <t>17e</t>
  </si>
  <si>
    <t>17f</t>
  </si>
  <si>
    <t>18a</t>
  </si>
  <si>
    <t>18b</t>
  </si>
  <si>
    <t>18c</t>
  </si>
  <si>
    <t>20z</t>
  </si>
  <si>
    <t>20aa</t>
  </si>
  <si>
    <t>20ab</t>
  </si>
  <si>
    <t>20ac</t>
  </si>
  <si>
    <t>20ad</t>
  </si>
  <si>
    <t>20ae</t>
  </si>
  <si>
    <t>20af</t>
  </si>
  <si>
    <t>Fiduciary K-1</t>
  </si>
  <si>
    <t>2a</t>
  </si>
  <si>
    <t>4a</t>
  </si>
  <si>
    <t>4c</t>
  </si>
  <si>
    <t>Entity Name</t>
  </si>
  <si>
    <t>Passive/Non-Passive</t>
  </si>
  <si>
    <t>Entity Type</t>
  </si>
  <si>
    <t>Ord Bus Inc (Loss)</t>
  </si>
  <si>
    <t>R/E Inc (Loss)</t>
  </si>
  <si>
    <t>Other Rental Inc (Loss)</t>
  </si>
  <si>
    <t>Guaranteed Payments</t>
  </si>
  <si>
    <t>Interest</t>
  </si>
  <si>
    <t>Dividends</t>
  </si>
  <si>
    <t>Qualified Div</t>
  </si>
  <si>
    <t>Royalties</t>
  </si>
  <si>
    <t>ST Cap Gain</t>
  </si>
  <si>
    <t>LT Cap Gain</t>
  </si>
  <si>
    <t>Collectibles</t>
  </si>
  <si>
    <t>Unrecap 1250 Gain</t>
  </si>
  <si>
    <t>Net 1231 Gain (Loss)</t>
  </si>
  <si>
    <t>Other Portfolio Inc (Loss)</t>
  </si>
  <si>
    <t>Involuntary Conversion</t>
  </si>
  <si>
    <t>Sec. 1256 Contracts</t>
  </si>
  <si>
    <t>Cancellation of Debt</t>
  </si>
  <si>
    <t>Sec 951 A Inc</t>
  </si>
  <si>
    <t>Sec 965(a) Inclusion</t>
  </si>
  <si>
    <t>Other Subpart F Inc</t>
  </si>
  <si>
    <t>Other Inc (Loss)</t>
  </si>
  <si>
    <t>Sec 179</t>
  </si>
  <si>
    <t>Cash Contr (60%)</t>
  </si>
  <si>
    <t>Cash Contr (30%)</t>
  </si>
  <si>
    <t>Non-cash Contr (50%)</t>
  </si>
  <si>
    <t>Non-cash Contr (30%)</t>
  </si>
  <si>
    <t>Cap Gain Prop to 50% Org</t>
  </si>
  <si>
    <t>Cap gain Prop (20%)</t>
  </si>
  <si>
    <t>Contributions (100%)</t>
  </si>
  <si>
    <t>Inv Int Exp</t>
  </si>
  <si>
    <t>Royalty Deductions</t>
  </si>
  <si>
    <t>Sec 59( e)(2)</t>
  </si>
  <si>
    <t>Sec 965( c) Deductions</t>
  </si>
  <si>
    <t>Excess Bus Int Exp</t>
  </si>
  <si>
    <t>Deductions - Portfolio</t>
  </si>
  <si>
    <t>Medical Ins Payments</t>
  </si>
  <si>
    <t>Other Deductions</t>
  </si>
  <si>
    <t>S/E Inc (Loss)</t>
  </si>
  <si>
    <t>Gross Farm/Fish Inc</t>
  </si>
  <si>
    <t>Gross Non-Farm Inc</t>
  </si>
  <si>
    <t>Credits</t>
  </si>
  <si>
    <t>Foreign Inc</t>
  </si>
  <si>
    <t>Foreign Taxes Paid</t>
  </si>
  <si>
    <t>AMT Depr Adj</t>
  </si>
  <si>
    <t>AMT Adj Gain (Loss)</t>
  </si>
  <si>
    <t>Depletion</t>
  </si>
  <si>
    <t>Oil &amp; Gas - Inc</t>
  </si>
  <si>
    <t>Oil &amp; Gas - Ded</t>
  </si>
  <si>
    <t>AMT Other</t>
  </si>
  <si>
    <t>T/E Int</t>
  </si>
  <si>
    <t>Other T/E Inc</t>
  </si>
  <si>
    <t>N/D Exp</t>
  </si>
  <si>
    <t>Distributions</t>
  </si>
  <si>
    <t>Sec 199A Inc</t>
  </si>
  <si>
    <t>Sec 199A W-2 Wages</t>
  </si>
  <si>
    <t>Sec 199A UBIA</t>
  </si>
  <si>
    <t>Sec 199A REIT</t>
  </si>
  <si>
    <t>Sec 199A PTP</t>
  </si>
  <si>
    <t>Excess Taxable Inc</t>
  </si>
  <si>
    <t>Excess Bus Int Inc</t>
  </si>
  <si>
    <t xml:space="preserve">If you are going to use the RPA to import into Axcess Tax, please put “Ready for RPA” in the RPA comment row for the column that is ready to import.  For convenience, you can copy/paste "Ready for RPA" from C11.
</t>
  </si>
  <si>
    <t>EIN</t>
  </si>
  <si>
    <t>Street Address</t>
  </si>
  <si>
    <t>OC</t>
  </si>
  <si>
    <t>Passive income</t>
  </si>
  <si>
    <t>City</t>
  </si>
  <si>
    <t>XR</t>
  </si>
  <si>
    <t>General limitation - all other</t>
  </si>
  <si>
    <t>State</t>
  </si>
  <si>
    <t>Zip</t>
  </si>
  <si>
    <t>Activity Number</t>
  </si>
  <si>
    <t>Taxpayer/Spouse</t>
  </si>
  <si>
    <t>Entity type</t>
  </si>
  <si>
    <t>S-Corp K-1</t>
  </si>
  <si>
    <t>Trust K-1</t>
  </si>
  <si>
    <t>Line 1: Ord bus inc (loss)</t>
  </si>
  <si>
    <t>Line 6: Ord bus inc (loss)</t>
  </si>
  <si>
    <t>Line 2: Rental income (loss)</t>
  </si>
  <si>
    <t>Line 7: Net rental real estate income</t>
  </si>
  <si>
    <t>Line 3: Other net rental income (loss)</t>
  </si>
  <si>
    <t>Line 8: Other rental income</t>
  </si>
  <si>
    <t>Line 4a: Guaranteed payment services</t>
  </si>
  <si>
    <t xml:space="preserve">Line 4b: Guaranteed payment capital  </t>
  </si>
  <si>
    <t>Line 4: Interest income</t>
  </si>
  <si>
    <t>Line 5: Interest income</t>
  </si>
  <si>
    <t>Line 1: Interest income</t>
  </si>
  <si>
    <t>Line 5a: Ord dividends</t>
  </si>
  <si>
    <t>Line 6a: Ord dividends</t>
  </si>
  <si>
    <t>Line 2a: Ordinary dividends</t>
  </si>
  <si>
    <t>Line 5b: Qual dividends</t>
  </si>
  <si>
    <t>Line 6b: Qual dividends</t>
  </si>
  <si>
    <t>Line 2b: Qualified dividends</t>
  </si>
  <si>
    <t>Line 6: Royalties</t>
  </si>
  <si>
    <t>Line 7: Royalties</t>
  </si>
  <si>
    <t>Line 7: ST capital gain (loss)</t>
  </si>
  <si>
    <t>Line 8: ST capital gain (loss)</t>
  </si>
  <si>
    <t>Line 3: ST capital gain (loss)</t>
  </si>
  <si>
    <t>Line 8a: LT capital gain (loss)</t>
  </si>
  <si>
    <t>Line 9a: LT capital gain (loss)</t>
  </si>
  <si>
    <t>Line 4a: LT capital gain (loss)</t>
  </si>
  <si>
    <t>Line 8b: Collectibles (28%) gain (loss)</t>
  </si>
  <si>
    <t>Line 9b: Collectibles (28%) gain (loss)</t>
  </si>
  <si>
    <t>Line 4b: 28% rate gain</t>
  </si>
  <si>
    <t>Line 8c: Unrecaptured Section 1250 gain</t>
  </si>
  <si>
    <t>Line 9c: Unrecaptured Section 1250 gain</t>
  </si>
  <si>
    <t>Line 4c: Unrecaptured Section 1250 gain</t>
  </si>
  <si>
    <t>Line 9: Sec 1231 gain (loss)</t>
  </si>
  <si>
    <t>Line 10:Sec 1231 gain (loss)</t>
  </si>
  <si>
    <t>Line 10a: Other portfolio income (loss)</t>
  </si>
  <si>
    <t>Line 11a: Other portfolio income (loss)</t>
  </si>
  <si>
    <t>Line 5: Other portfolio and nonbusiness income</t>
  </si>
  <si>
    <t>Line 10c: Section 1256 contracts &amp; straddles</t>
  </si>
  <si>
    <t>Line 11c: Section 1256 contracts &amp; straddles</t>
  </si>
  <si>
    <t>Line 11f: Section 743(b) positive adjustments</t>
  </si>
  <si>
    <t>Line 10zz: Other inc (loss)</t>
  </si>
  <si>
    <t>Line 11zz: Other inc (loss)</t>
  </si>
  <si>
    <t>Line 11: Section 179</t>
  </si>
  <si>
    <t>Line 12: Section 179</t>
  </si>
  <si>
    <t>Line 12a: Cash contr (60%)</t>
  </si>
  <si>
    <t>Line 13a: Cash contr (60%)</t>
  </si>
  <si>
    <t>Line 12b: Cash contr (30%)</t>
  </si>
  <si>
    <t>Line 13b: Cash contr (30%)</t>
  </si>
  <si>
    <t>Line 12c: Noncash contr (50%)</t>
  </si>
  <si>
    <t>Line 13c: Noncash contr (50%)</t>
  </si>
  <si>
    <t>Line 12d: Noncash contr (30%)</t>
  </si>
  <si>
    <t>Line 13d: Noncash contr (30%)</t>
  </si>
  <si>
    <t>Line 12h: Investment interest expense - Sch A</t>
  </si>
  <si>
    <t>Line 13h: Investment interest expense - Sch A</t>
  </si>
  <si>
    <t>Line 12h: Investment interest expense - Sch E</t>
  </si>
  <si>
    <t>Line 13h: Investment interest expense - Sch E</t>
  </si>
  <si>
    <t>Line 12l: Deductions - portfolio (other)</t>
  </si>
  <si>
    <t>Line 13l: Deductions - portfolio (other)</t>
  </si>
  <si>
    <t>Line 13K: Excess Business Interest Expense</t>
  </si>
  <si>
    <t>Line 13m: Medical ins payments</t>
  </si>
  <si>
    <t>Line 13v: Section 743(b) negative adj</t>
  </si>
  <si>
    <t>Line 14a: SE income/loss</t>
  </si>
  <si>
    <t>Line 14b: Gross farm/fish inc.</t>
  </si>
  <si>
    <t>Line 14c: Gross non-farm inc.</t>
  </si>
  <si>
    <t>Line 13j: Work Opportunity Credit</t>
  </si>
  <si>
    <t>Line 15j: Work Opportunity Credit</t>
  </si>
  <si>
    <t>Line 13f: Work Opportunity Credit</t>
  </si>
  <si>
    <t>Line 13m: Cr for increasing research activities</t>
  </si>
  <si>
    <t>Line 15m: Cr for increasing research activities</t>
  </si>
  <si>
    <t>Line 13i: Cr for increasing research activities</t>
  </si>
  <si>
    <t>Line 13n: Cr for employer SS &amp; Medicare taxes</t>
  </si>
  <si>
    <t>Line 15n: Cr for employer SS &amp; Medicare taxes</t>
  </si>
  <si>
    <t>Line 13: Other Credits</t>
  </si>
  <si>
    <t>Line 15: Other Credits</t>
  </si>
  <si>
    <t>K-3: Foreign country code</t>
  </si>
  <si>
    <t>K-1 stmt: Foreign country code</t>
  </si>
  <si>
    <t>K-3: Foreign income code</t>
  </si>
  <si>
    <t>K-1 stmt: Foreign income code</t>
  </si>
  <si>
    <t>K-3: Foreign income</t>
  </si>
  <si>
    <t>K-1 Stmt: Foreign income</t>
  </si>
  <si>
    <t>Line 16f: Foreign taxes paid</t>
  </si>
  <si>
    <t>Line 21: Foreign taxes paid</t>
  </si>
  <si>
    <t>Line 14b: Foreign taxes</t>
  </si>
  <si>
    <t>Line 15a: AMT depr adj</t>
  </si>
  <si>
    <t>Line 17a: AMT depr adj</t>
  </si>
  <si>
    <t>Line 15b: AMT Adj Gain (Loss)</t>
  </si>
  <si>
    <t>Line 17b: AMT Adj Gain (Loss)</t>
  </si>
  <si>
    <t>Line 12a: AMT Adjustment</t>
  </si>
  <si>
    <t>Line 15c: Depletion</t>
  </si>
  <si>
    <t>Line 17c: Depletion</t>
  </si>
  <si>
    <t>Line 15d: Oil &amp; gas - Inc.</t>
  </si>
  <si>
    <t>Line 17d: Oil &amp; gas - Inc.</t>
  </si>
  <si>
    <t>Line 15e: Oil &amp; gas - Ded.</t>
  </si>
  <si>
    <t>Line 17e: Oil &amp; gas - Ded.</t>
  </si>
  <si>
    <t>Line 15f: Other AMT items</t>
  </si>
  <si>
    <t>Line 17f: Other AMT items</t>
  </si>
  <si>
    <t>Line 16a: T/E interest income</t>
  </si>
  <si>
    <t>Line 18a: T/E interest income</t>
  </si>
  <si>
    <t>Line 14a: Tax-exempt interest</t>
  </si>
  <si>
    <t>Line 16b: Other tax-exempt income</t>
  </si>
  <si>
    <t>Line 18b: Other tax-exempt income</t>
  </si>
  <si>
    <t>Line 16c: Nondeductible expenses</t>
  </si>
  <si>
    <t>Line 18c: Nondeductible expenses</t>
  </si>
  <si>
    <t>Line 16d: Distributions</t>
  </si>
  <si>
    <t>Line 19a: Distributions - cash &amp; marketable sec.</t>
  </si>
  <si>
    <t>Line 17a: Investment income</t>
  </si>
  <si>
    <t>Line 20a: Investment income</t>
  </si>
  <si>
    <t>Line 17AA: Excess Taxable Income</t>
  </si>
  <si>
    <t>Line 20 AE: Excess Taxable Income</t>
  </si>
  <si>
    <t>Line 17 AB: Excess Business Interest Income</t>
  </si>
  <si>
    <t>Line 20 AF: Excess Business Interest Income</t>
  </si>
  <si>
    <t>Schedule E, Page 2 Subtotal</t>
  </si>
  <si>
    <r>
      <t xml:space="preserve">Form 8582 - PAL Carryforward to Current Year </t>
    </r>
    <r>
      <rPr>
        <b/>
        <sz val="11"/>
        <color theme="1"/>
        <rFont val="Calibri"/>
        <family val="2"/>
        <scheme val="minor"/>
      </rPr>
      <t>(Enter as Negative)</t>
    </r>
  </si>
  <si>
    <t>Should tie to Prior Year Carryforward Sheet</t>
  </si>
  <si>
    <r>
      <t xml:space="preserve">Form 8582 - PAL Carryforward to Next Year </t>
    </r>
    <r>
      <rPr>
        <b/>
        <sz val="11"/>
        <color theme="1"/>
        <rFont val="Calibri"/>
        <family val="2"/>
        <scheme val="minor"/>
      </rPr>
      <t>(Enter as Positive)</t>
    </r>
  </si>
  <si>
    <t>Should tie to Next Year Carryforward Sheet</t>
  </si>
  <si>
    <t>IL K-1-P</t>
  </si>
  <si>
    <t>Federally T/E Int Inc (Column A)</t>
  </si>
  <si>
    <t>IL Taxes  (Column A)</t>
  </si>
  <si>
    <t>IL Special Depreciation Addition  (Column A)</t>
  </si>
  <si>
    <t>Distributive Share of Additions  (Column A)</t>
  </si>
  <si>
    <t>Other Additions  (Column A)</t>
  </si>
  <si>
    <t xml:space="preserve">  TOTAL ADDITIONS (COLUMN A)</t>
  </si>
  <si>
    <t>Federally T/E Int Inc (Column B)</t>
  </si>
  <si>
    <t>IL Taxes  (Column B)</t>
  </si>
  <si>
    <t>IL Special Depreciation Addition  (Column B)</t>
  </si>
  <si>
    <t>Distributive Share of Additions  (Column B)</t>
  </si>
  <si>
    <t>Other Additions  (Column B)</t>
  </si>
  <si>
    <t xml:space="preserve">  TOTAL ADDITIONS (COLUMN B)</t>
  </si>
  <si>
    <t>US Gov Interest (Column A)</t>
  </si>
  <si>
    <t>Dividend Subtraction (Column A)</t>
  </si>
  <si>
    <t>IL Special Depreciation Subtraction  (Column A)</t>
  </si>
  <si>
    <t>Distributive Share of Subtractions  (Column A)</t>
  </si>
  <si>
    <t>Other Subtractions  (Column A)</t>
  </si>
  <si>
    <t xml:space="preserve">  TOTAL SUBTRACTIONS (COLUMN A)</t>
  </si>
  <si>
    <t>US Gov Interest (Column B)</t>
  </si>
  <si>
    <t>Dividend Subtraction (Column B)</t>
  </si>
  <si>
    <t>IL Special Depreciation Subtraction (Column B)</t>
  </si>
  <si>
    <t>Distributive Share of Subtractions (Column B)</t>
  </si>
  <si>
    <t>Other Subtractions (Column B)</t>
  </si>
  <si>
    <t xml:space="preserve">  TOTAL SUBTRACTIONS (COLUMN B)</t>
  </si>
  <si>
    <t>IL Withholding</t>
  </si>
  <si>
    <t>IL PTE</t>
  </si>
  <si>
    <t>MO Adjustment - Net Addition (Total)</t>
  </si>
  <si>
    <t>MO Adjustment - Net Addition (MO Source)</t>
  </si>
  <si>
    <t>MO Adjustment - Net Subtraction (Total)</t>
  </si>
  <si>
    <t>MO Adjustment - Net Subtraction (MO Source)</t>
  </si>
  <si>
    <t>MO Withholding</t>
  </si>
  <si>
    <t>MO PTE</t>
  </si>
  <si>
    <t>OTHER STATES</t>
  </si>
  <si>
    <t>Income</t>
  </si>
  <si>
    <t>Withholding</t>
  </si>
  <si>
    <t>PTE</t>
  </si>
  <si>
    <t>STATE INCOME SUMMARY (OTHER THAN IL &amp; MO)</t>
  </si>
  <si>
    <r>
      <rPr>
        <b/>
        <sz val="11"/>
        <color theme="1"/>
        <rFont val="Calibri"/>
        <family val="2"/>
        <scheme val="minor"/>
      </rPr>
      <t>Column E</t>
    </r>
    <r>
      <rPr>
        <sz val="11"/>
        <color theme="1"/>
        <rFont val="Calibri"/>
        <family val="2"/>
        <scheme val="minor"/>
      </rPr>
      <t xml:space="preserve"> - Select State from Dropdown</t>
    </r>
  </si>
  <si>
    <t>Line</t>
  </si>
  <si>
    <t>PDF WP Ref</t>
  </si>
  <si>
    <t>PBC</t>
  </si>
  <si>
    <t>ADJ 1</t>
  </si>
  <si>
    <t>ADJ 2</t>
  </si>
  <si>
    <t>ADJ 3</t>
  </si>
  <si>
    <t>ADJ 4</t>
  </si>
  <si>
    <t>ADJ 5</t>
  </si>
  <si>
    <t>ADJ 6</t>
  </si>
  <si>
    <t>ADJ 7</t>
  </si>
  <si>
    <t>ADJ 8</t>
  </si>
  <si>
    <t>ADJ 9</t>
  </si>
  <si>
    <t>ADJ 10</t>
  </si>
  <si>
    <t>TR</t>
  </si>
  <si>
    <t>Gross Receipts (Enter as Positive)</t>
  </si>
  <si>
    <t>Less: Returns &amp; allowances (Enter as Negative)</t>
  </si>
  <si>
    <t>Less: COGS</t>
  </si>
  <si>
    <t>BOY inventory (Enter as Negative)</t>
  </si>
  <si>
    <t>Purchases (Enter as Negative)</t>
  </si>
  <si>
    <t>Cost of labor (Enter as Negative)</t>
  </si>
  <si>
    <t>Materials &amp; supplies (Enter as Negative)</t>
  </si>
  <si>
    <t>Other costs (Enter as Negative)</t>
  </si>
  <si>
    <t>EOY inventory (Enter as Positive)</t>
  </si>
  <si>
    <t>Other Income (Enter as Positive)</t>
  </si>
  <si>
    <t>Less: Advertising (Enter as Negative)</t>
  </si>
  <si>
    <t>Less: Car &amp; truck expense (Enter as Negative)</t>
  </si>
  <si>
    <t>Less: Commissions and fees (Enter as Negative)</t>
  </si>
  <si>
    <t>Less: Contract labor (Enter as Negative)</t>
  </si>
  <si>
    <t>Less: Depletion (Enter as Negative)</t>
  </si>
  <si>
    <t>Less: Depreciation &amp; Sec 179 (Enter as Negative)</t>
  </si>
  <si>
    <t>Less: Employee benefit programs (Enter as Negative)</t>
  </si>
  <si>
    <t>Less: Insurance (Enter as Negative)</t>
  </si>
  <si>
    <t>Less: Mortgage interest (Enter as Negative)</t>
  </si>
  <si>
    <t>Less: Other interest (Enter as Negative)</t>
  </si>
  <si>
    <t>Less: Legal and professional (Enter as Negative)</t>
  </si>
  <si>
    <t>Less: Office expenses (Enter as Negative)</t>
  </si>
  <si>
    <t>Less: Pension and profit sharing (Enter as Negative)</t>
  </si>
  <si>
    <t>20a</t>
  </si>
  <si>
    <t>Less: Rent - machinery &amp; equip (Enter as Negative)</t>
  </si>
  <si>
    <t>20b</t>
  </si>
  <si>
    <t>Less: Rent - other bus. Prop (Enter as Negative)</t>
  </si>
  <si>
    <t>Less: Repairs &amp; maintenance (Enter as Negative)</t>
  </si>
  <si>
    <t>Less: Supplies (Enter as Negative)</t>
  </si>
  <si>
    <t>Less: Taxes &amp; licenses (Enter as Negative)</t>
  </si>
  <si>
    <t>24a</t>
  </si>
  <si>
    <t>Less: Travel (Enter as Negative)</t>
  </si>
  <si>
    <t>24b</t>
  </si>
  <si>
    <t>Less: Deductible meals (Enter as Negative)</t>
  </si>
  <si>
    <t>Less: Utilities (Enter as Negative)</t>
  </si>
  <si>
    <t>Less: Wages (Enter as Negative)</t>
  </si>
  <si>
    <t>27a</t>
  </si>
  <si>
    <t>Less: Other expenses (Enter as Negative)</t>
  </si>
  <si>
    <t>27b</t>
  </si>
  <si>
    <t>Less: Energy eff com build ded</t>
  </si>
  <si>
    <t>Less: Business use of home (Enter as Negative)</t>
  </si>
  <si>
    <t>Net profit/loss</t>
  </si>
  <si>
    <t>ADJ</t>
  </si>
  <si>
    <t>WP Ref</t>
  </si>
  <si>
    <t>Explanation:</t>
  </si>
  <si>
    <t>Part I</t>
  </si>
  <si>
    <t>Sales or Exchanges of Property Used in a Trade or Business —Most Property Held More Than 1 Year</t>
  </si>
  <si>
    <t>Part II</t>
  </si>
  <si>
    <t>Ordinary Gains and Losses</t>
  </si>
  <si>
    <t>Part III</t>
  </si>
  <si>
    <t>Gain From Disposition of Property Under Sections 1245, 1250, 1252, 1254, and 1255</t>
  </si>
  <si>
    <t>T/S/J</t>
  </si>
  <si>
    <t>4797 Part</t>
  </si>
  <si>
    <t>Sales Price</t>
  </si>
  <si>
    <t>Cost</t>
  </si>
  <si>
    <t>Depr</t>
  </si>
  <si>
    <t>Selling Exp</t>
  </si>
  <si>
    <t>Adjusted Basis</t>
  </si>
  <si>
    <t>Gain/(Loss)</t>
  </si>
  <si>
    <t>From K-1</t>
  </si>
  <si>
    <t>Part I Subtotal</t>
  </si>
  <si>
    <t>From Part III</t>
  </si>
  <si>
    <t>Nonrecaptured 1231 losses from PY</t>
  </si>
  <si>
    <t>Total to Schedule D, LT Capital Gain</t>
  </si>
  <si>
    <t>Total to Part II</t>
  </si>
  <si>
    <t>Part II Subtotal</t>
  </si>
  <si>
    <t>From Part I</t>
  </si>
  <si>
    <t>Total to Schedule 1</t>
  </si>
  <si>
    <t>Part III Total</t>
  </si>
  <si>
    <t>Less: Depreciation Recapture to Part II</t>
  </si>
  <si>
    <t>Total to Part I</t>
  </si>
  <si>
    <t>Schedule E</t>
  </si>
  <si>
    <t>Rents received (Enter as Positive)</t>
  </si>
  <si>
    <t>Royalties Received (Enter as Positive)</t>
  </si>
  <si>
    <t>Less: Auto &amp; travel (Enter as Negative)</t>
  </si>
  <si>
    <t>Less: Cleaning &amp; maintenance (Enter as Negative)</t>
  </si>
  <si>
    <t>Less: Commissions (Enter as Negative)</t>
  </si>
  <si>
    <t>Less: Legal and other professional fees (Enter as Negative)</t>
  </si>
  <si>
    <t>Less: Management fees (Enter as Negative)</t>
  </si>
  <si>
    <t>Less: Repairs (Enter as Negative)</t>
  </si>
  <si>
    <t>Less: Taxes (Enter as Negative)</t>
  </si>
  <si>
    <t>Less: Depreciation or depletion (Enter as Negative)</t>
  </si>
  <si>
    <t>Filing Status</t>
  </si>
  <si>
    <t>Single</t>
  </si>
  <si>
    <t>YES</t>
  </si>
  <si>
    <t>Taxable Income BEFORE QBI Deduction</t>
  </si>
  <si>
    <t>HOH</t>
  </si>
  <si>
    <t>NO</t>
  </si>
  <si>
    <t>Taxable Income in Excess of Threshold?</t>
  </si>
  <si>
    <t>MFJ</t>
  </si>
  <si>
    <t>Excess Amount</t>
  </si>
  <si>
    <t>MFS</t>
  </si>
  <si>
    <t>Reduction Ratio</t>
  </si>
  <si>
    <t>199A(b)(2)</t>
  </si>
  <si>
    <t>Patronage Reduction</t>
  </si>
  <si>
    <t>Allocated</t>
  </si>
  <si>
    <t>Phased In</t>
  </si>
  <si>
    <t>Schedule D to Form 8995-A</t>
  </si>
  <si>
    <t>Trade or Business</t>
  </si>
  <si>
    <t>Cooperative Income</t>
  </si>
  <si>
    <t>S/E Exp</t>
  </si>
  <si>
    <t>Wages related to</t>
  </si>
  <si>
    <t>Adjusted</t>
  </si>
  <si>
    <t>QBI</t>
  </si>
  <si>
    <t>(QBL)</t>
  </si>
  <si>
    <t>Loss</t>
  </si>
  <si>
    <t>QBI After</t>
  </si>
  <si>
    <t>QBL</t>
  </si>
  <si>
    <t>No</t>
  </si>
  <si>
    <t>Limitation</t>
  </si>
  <si>
    <t>Activity Description</t>
  </si>
  <si>
    <t>SSTB?</t>
  </si>
  <si>
    <t>QBI / (QBL)</t>
  </si>
  <si>
    <t>included in QBI</t>
  </si>
  <si>
    <t>See WKST in Tax</t>
  </si>
  <si>
    <t>UBIA</t>
  </si>
  <si>
    <t>Only</t>
  </si>
  <si>
    <t>Proration</t>
  </si>
  <si>
    <t>Loss Proration</t>
  </si>
  <si>
    <t>Carryover</t>
  </si>
  <si>
    <t>20% of QBI</t>
  </si>
  <si>
    <t>199A(b)(2)(B)</t>
  </si>
  <si>
    <t>199A(b)(3)(B)</t>
  </si>
  <si>
    <t>Coop Income</t>
  </si>
  <si>
    <t>9% of Coop Income</t>
  </si>
  <si>
    <t>Coop Wages</t>
  </si>
  <si>
    <t>50% of Coop Wages</t>
  </si>
  <si>
    <t>Patron Reduction</t>
  </si>
  <si>
    <t>199A(b)(1)(A)</t>
  </si>
  <si>
    <t>Qualified REIT Div</t>
  </si>
  <si>
    <t>199A(b)(1)(B)</t>
  </si>
  <si>
    <t>Qualified PTP Income</t>
  </si>
  <si>
    <t>COMBINED QUALIFIED BUSINESS INCOME AMOUNT</t>
  </si>
  <si>
    <t>199A(a)1(A)</t>
  </si>
  <si>
    <t>Taxable Income</t>
  </si>
  <si>
    <t>199A(a)(1)(B)(i)</t>
  </si>
  <si>
    <t>Net Capital Gain &amp; Q Div</t>
  </si>
  <si>
    <t>199A(a)(1)(B)(ii)</t>
  </si>
  <si>
    <t>Qualified Coop Div</t>
  </si>
  <si>
    <t>Difference</t>
  </si>
  <si>
    <t>20% of Difference</t>
  </si>
  <si>
    <t>199A(a)1(B)</t>
  </si>
  <si>
    <t>20% Coop Div</t>
  </si>
  <si>
    <t>199A(a)2(A)</t>
  </si>
  <si>
    <t>Net Capital Gain</t>
  </si>
  <si>
    <t>199A(a)2(B)</t>
  </si>
  <si>
    <t>Lesser of 1(A) or 1(B)</t>
  </si>
  <si>
    <t>Lesser of 2(A) or 2(B)</t>
  </si>
  <si>
    <t>199A(g) from Cooperative</t>
  </si>
  <si>
    <t>QBI Deduction</t>
  </si>
  <si>
    <t>Sales of purchased livestock and other resale (Enter as Positive)</t>
  </si>
  <si>
    <t>1b</t>
  </si>
  <si>
    <t>Cost/basis of purchased livestock and other items (Enter as Negative)</t>
  </si>
  <si>
    <t>Sales of livestock and other products produced (Enter as Positive)</t>
  </si>
  <si>
    <t>Cooperative distributions (Enter as Positive)</t>
  </si>
  <si>
    <t>Agricultural program payments (Enter as Positive)</t>
  </si>
  <si>
    <t>5c</t>
  </si>
  <si>
    <t>CCC Loans (Enter as Positive)</t>
  </si>
  <si>
    <t>Crop insurance proceeds (Enter as Positive)</t>
  </si>
  <si>
    <t>6d</t>
  </si>
  <si>
    <t>Crop insurance proceeds deferred from prior year (Enter as Positive)</t>
  </si>
  <si>
    <t>Custom hire (Enter as Positive)</t>
  </si>
  <si>
    <t>Other income (Enter as Positive)</t>
  </si>
  <si>
    <t>Less: Chemicals (Enter as Negative)</t>
  </si>
  <si>
    <t>Less: Conservation expenses (Enter as Negative)</t>
  </si>
  <si>
    <t>Less: Custom hire (Enter as Negative)</t>
  </si>
  <si>
    <t>Less: Feed (Enter as Negative)</t>
  </si>
  <si>
    <t>Less: Fertilizers and lime (Enter as Negative)</t>
  </si>
  <si>
    <t>Less: Freight and trucking (Enter as Negative)</t>
  </si>
  <si>
    <t>Less: Gasoline, fuel, and oil (Enter as Negative)</t>
  </si>
  <si>
    <t>21a</t>
  </si>
  <si>
    <t>21b</t>
  </si>
  <si>
    <t>Less: Labor hired (Enter as Negative)</t>
  </si>
  <si>
    <t>Less: Seeds and plants (Enter as Negative)</t>
  </si>
  <si>
    <t>Less: Storage and warehousing (Enter as Negative)</t>
  </si>
  <si>
    <t>Less: Vet, breeding, and medicine (Enter as Negative)</t>
  </si>
  <si>
    <t>LIMITED</t>
  </si>
  <si>
    <t>IL Credit</t>
  </si>
  <si>
    <t>Adjusted Gross Income (Used in Medical Expense Limitation Calculation)</t>
  </si>
  <si>
    <t>Medical &amp; Dental Expenses</t>
  </si>
  <si>
    <t>Prescriptions</t>
  </si>
  <si>
    <t>Medical Ins Premiums Paid</t>
  </si>
  <si>
    <t>Medicare Premiums (From Social Security tab)</t>
  </si>
  <si>
    <r>
      <t xml:space="preserve">LT Care Ins Premiums </t>
    </r>
    <r>
      <rPr>
        <b/>
        <sz val="11"/>
        <color theme="1"/>
        <rFont val="Calibri"/>
        <family val="2"/>
        <scheme val="minor"/>
      </rPr>
      <t>(Note: Limitation)</t>
    </r>
  </si>
  <si>
    <t>LT Care Expenses</t>
  </si>
  <si>
    <t>Medical Miles * Standard Rate</t>
  </si>
  <si>
    <t>Doctors</t>
  </si>
  <si>
    <t>Dentists</t>
  </si>
  <si>
    <t>Hospitals</t>
  </si>
  <si>
    <t>Lab Fees</t>
  </si>
  <si>
    <t>Glasses &amp; Contacts</t>
  </si>
  <si>
    <t>Other</t>
  </si>
  <si>
    <t>Schedule A, Line 2</t>
  </si>
  <si>
    <t>Taxes</t>
  </si>
  <si>
    <t>Choose GST OR SALT (Consider State Tax Implications):</t>
  </si>
  <si>
    <t>SALT</t>
  </si>
  <si>
    <t>GST</t>
  </si>
  <si>
    <t>Real Estate Taxes - Personal Residence</t>
  </si>
  <si>
    <t>Real Estate Taxes - Other</t>
  </si>
  <si>
    <t>Personal Property Taxes</t>
  </si>
  <si>
    <t>Schedule A, Line 7</t>
  </si>
  <si>
    <r>
      <t>Home mortgage interest - Principal Residence</t>
    </r>
    <r>
      <rPr>
        <b/>
        <sz val="11"/>
        <color theme="1"/>
        <rFont val="Calibri"/>
        <family val="2"/>
        <scheme val="minor"/>
      </rPr>
      <t xml:space="preserve"> (Note: Limitation - See Pub. 936)</t>
    </r>
  </si>
  <si>
    <t>Manually adjust Column D input for limitation, if needed.  Otherwise, Column C amount will flow to Column D.</t>
  </si>
  <si>
    <r>
      <t xml:space="preserve">Home mortgage interest - Second Home </t>
    </r>
    <r>
      <rPr>
        <b/>
        <sz val="11"/>
        <color theme="1"/>
        <rFont val="Calibri"/>
        <family val="2"/>
        <scheme val="minor"/>
      </rPr>
      <t xml:space="preserve"> (Note: Limitation - See Pub. 936)</t>
    </r>
  </si>
  <si>
    <t>Points</t>
  </si>
  <si>
    <r>
      <t>Form 4952 - Investment Interest Expense</t>
    </r>
    <r>
      <rPr>
        <b/>
        <sz val="11"/>
        <color theme="1"/>
        <rFont val="Calibri"/>
        <family val="2"/>
        <scheme val="minor"/>
      </rPr>
      <t xml:space="preserve"> (Note: Limitation)</t>
    </r>
  </si>
  <si>
    <t>Schedule A, Line 10</t>
  </si>
  <si>
    <t>Gifts to Charity</t>
  </si>
  <si>
    <t>Cash</t>
  </si>
  <si>
    <t>K-1 Cash Contributions</t>
  </si>
  <si>
    <t>Subtotal Cash</t>
  </si>
  <si>
    <t>Non-cash</t>
  </si>
  <si>
    <t>K-1 Non-cash Contributions</t>
  </si>
  <si>
    <t>Subtotal Non-cash</t>
  </si>
  <si>
    <t>Carryover from prior year</t>
  </si>
  <si>
    <t>Schedule A, Line 14</t>
  </si>
  <si>
    <t>Schedule A, Line 15 - Casualty &amp; Theft Loss</t>
  </si>
  <si>
    <t>Schedule A, Line 16 - Other Itemized Deductions</t>
  </si>
  <si>
    <t>TOTAL ITEMIZED DEDUCTIONS</t>
  </si>
  <si>
    <t>Computation of State Tax Refunds</t>
  </si>
  <si>
    <t>* REMINDER THAT IF THE CLIENT DID NOT ITEMIZE IN THE PRIOR YEAR, OR USED THE SALES TAX DEDUCTION ON SCHEDULE A, THEN NONE OF THE STATE TAX REFUNDS ARE TAXABLE</t>
  </si>
  <si>
    <t>State :</t>
  </si>
  <si>
    <t>Refund per 1099-G</t>
  </si>
  <si>
    <t>Payments on prior year return:</t>
  </si>
  <si>
    <t>Payments for prior year return (included</t>
  </si>
  <si>
    <t>above) that were paid in the following year:</t>
  </si>
  <si>
    <t>Refund Inclusion Calculation:</t>
  </si>
  <si>
    <t>x</t>
  </si>
  <si>
    <t>=</t>
  </si>
  <si>
    <t>Net refund to be included on line 10, form 1040:</t>
  </si>
  <si>
    <t xml:space="preserve">State tax deduction on sched A should also be reduced by </t>
  </si>
  <si>
    <t>Total net refund to be included on line 10, Form 1040:</t>
  </si>
  <si>
    <t>State tax deduction on sched A should be reduced by:</t>
  </si>
  <si>
    <t>Schedule C - Net profit (loss)</t>
  </si>
  <si>
    <t>Schedule K-1 (Form 1065), Box 14A</t>
  </si>
  <si>
    <t>Schedule F - Net farm profit (loss)</t>
  </si>
  <si>
    <t>Schedule SE, Line 3</t>
  </si>
  <si>
    <t>Schedule SE, Line 4a</t>
  </si>
  <si>
    <t>Max subject to SS Tax</t>
  </si>
  <si>
    <t>SS Wages &amp; Tips</t>
  </si>
  <si>
    <t>Schedule SE, Line 9</t>
  </si>
  <si>
    <t>Schedule SE, Line 10</t>
  </si>
  <si>
    <t>Schedule SE, Line 11</t>
  </si>
  <si>
    <t>Schedule SE, Line 12 - SE Tax</t>
  </si>
  <si>
    <t>Schedule 2, Line 4</t>
  </si>
  <si>
    <t>Schedule SE, Line 13 - 1/2 SE Tax</t>
  </si>
  <si>
    <t>Schedule 1, Line 15</t>
  </si>
  <si>
    <t>MAGI</t>
  </si>
  <si>
    <t>Head of Household</t>
  </si>
  <si>
    <t>MAGI Threshold</t>
  </si>
  <si>
    <t>Married Filing Jointly</t>
  </si>
  <si>
    <t>Married Filing Separately</t>
  </si>
  <si>
    <t>Qualifying Widower</t>
  </si>
  <si>
    <t>Investment Income</t>
  </si>
  <si>
    <t>Schedule E income or loss</t>
  </si>
  <si>
    <t>Adj.</t>
  </si>
  <si>
    <t>See Sch E Exclusions from NII below.</t>
  </si>
  <si>
    <t>Capital gain or loss</t>
  </si>
  <si>
    <t xml:space="preserve">Adj. </t>
  </si>
  <si>
    <t>See Gain/loss Exclusions from NII below.</t>
  </si>
  <si>
    <t>NII Changes - CFC/PFIC</t>
  </si>
  <si>
    <t>Other Modifications</t>
  </si>
  <si>
    <t>Investment Expenses</t>
  </si>
  <si>
    <t>Investment Interest Expense</t>
  </si>
  <si>
    <t>State Income Taxes</t>
  </si>
  <si>
    <t>Miscellaneous Investment Exp.</t>
  </si>
  <si>
    <t>Net Investment Income</t>
  </si>
  <si>
    <t>Smaller of MAGI - Threshold or NII</t>
  </si>
  <si>
    <t>Tax Rate</t>
  </si>
  <si>
    <t>3.8% NII Tax</t>
  </si>
  <si>
    <t>Sch E Adjustments :</t>
  </si>
  <si>
    <t>Gain/Loss Adjustments:</t>
  </si>
  <si>
    <t>Amount</t>
  </si>
  <si>
    <t>AMOUNTS PAID IN CURRENT TAX YEAR:</t>
  </si>
  <si>
    <t>Federal</t>
  </si>
  <si>
    <t>W-2</t>
  </si>
  <si>
    <t>1099-R</t>
  </si>
  <si>
    <t>K-1 Withholding</t>
  </si>
  <si>
    <t>Excess Social Security</t>
  </si>
  <si>
    <t>Additional Medicare</t>
  </si>
  <si>
    <t>From SSA 1099</t>
  </si>
  <si>
    <t>Estimates</t>
  </si>
  <si>
    <t>Prior Tax Year Q4 Estimate</t>
  </si>
  <si>
    <t>Q1</t>
  </si>
  <si>
    <t>Q2</t>
  </si>
  <si>
    <t>Q3</t>
  </si>
  <si>
    <t>Q4 (Prepaid before December 31st)</t>
  </si>
  <si>
    <t>PY Balance Due</t>
  </si>
  <si>
    <r>
      <rPr>
        <b/>
        <sz val="11"/>
        <color rgb="FFFF0000"/>
        <rFont val="Calibri"/>
        <family val="2"/>
        <scheme val="minor"/>
      </rPr>
      <t>*</t>
    </r>
    <r>
      <rPr>
        <b/>
        <sz val="11"/>
        <color theme="1"/>
        <rFont val="Calibri"/>
        <family val="2"/>
        <scheme val="minor"/>
      </rPr>
      <t>Overpayment Applied from PY</t>
    </r>
  </si>
  <si>
    <t>Refund Reduction (Enter as Negative)</t>
  </si>
  <si>
    <t>Schedule A - Income Taxes</t>
  </si>
  <si>
    <t>K-1 PTE</t>
  </si>
  <si>
    <t>AMOUNTS PAID IN FOLLOWING TAX YEAR:</t>
  </si>
  <si>
    <t>Q4 Estimate</t>
  </si>
  <si>
    <t>Extension</t>
  </si>
  <si>
    <t>TOTAL PAYMENTS ON CURRENT YEAR RETURN:</t>
  </si>
  <si>
    <t>*Note to Consider - Was the return amended or was a notice received that impacts the overpayment applied to the current year?</t>
  </si>
  <si>
    <t>ACCOUNT NUMBER (MUST ENTER)</t>
  </si>
  <si>
    <t>Class Code</t>
  </si>
  <si>
    <t>Line 13r: Pensions and IRAs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</si>
</sst>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_(* \(#,##0\);_(* &quot;-&quot;_);_(@_)"/>
    <numFmt numFmtId="43" formatCode="_(* #,##0.00_);_(* \(#,##0.00\);_(* &quot;-&quot;??_);_(@_)"/>
    <numFmt numFmtId="164" formatCode="0.0%"/>
    <numFmt numFmtId="165" formatCode="_(* #,##0_);_(* \(#,##0\);_(* &quot;-&quot;??_);_(@_)"/>
    <numFmt numFmtId="166" formatCode="_(* #,##0_);_(* \(#,##0\);_(* &quot;-&quot;?_);_(@_)"/>
    <numFmt numFmtId="167" formatCode="m/d/yy;@"/>
    <numFmt numFmtId="168" formatCode="_(* #,##0.0_);_(* \(#,##0.0\);_(* &quot;-&quot;?_);_(@_)"/>
    <numFmt numFmtId="169" formatCode="0.0000%"/>
  </numFmts>
  <fonts count="22" x14ac:knownFonts="1">
    <font>
      <sz val="11"/>
      <color theme="1"/>
      <name val="Calibri"/>
      <family val="2"/>
      <scheme val="minor"/>
    </font>
    <font>
      <sz val="10"/>
      <name val="Arial"/>
      <family val="2"/>
    </font>
    <font>
      <b/>
      <sz val="10"/>
      <name val="Arial"/>
      <family val="2"/>
    </font>
    <font>
      <b/>
      <u/>
      <sz val="10"/>
      <name val="Arial"/>
      <family val="2"/>
    </font>
    <font>
      <sz val="10"/>
      <color indexed="9"/>
      <name val="Arial"/>
      <family val="2"/>
    </font>
    <font>
      <b/>
      <sz val="11"/>
      <name val="Arial"/>
      <family val="2"/>
    </font>
    <font>
      <b/>
      <i/>
      <sz val="10"/>
      <name val="Arial"/>
      <family val="2"/>
    </font>
    <font>
      <b/>
      <i/>
      <sz val="10"/>
      <color indexed="9"/>
      <name val="Arial"/>
      <family val="2"/>
    </font>
    <font>
      <sz val="11"/>
      <color rgb="FFFF0000"/>
      <name val="Calibri"/>
      <family val="2"/>
      <scheme val="minor"/>
    </font>
    <font>
      <sz val="11"/>
      <color theme="1"/>
      <name val="Calibri"/>
      <family val="2"/>
      <scheme val="minor"/>
    </font>
    <font>
      <sz val="11"/>
      <color rgb="FF0000FF"/>
      <name val="Calibri"/>
      <family val="2"/>
      <scheme val="minor"/>
    </font>
    <font>
      <b/>
      <sz val="11"/>
      <color theme="1"/>
      <name val="Calibri"/>
      <family val="2"/>
      <scheme val="minor"/>
    </font>
    <font>
      <sz val="11"/>
      <name val="Calibri"/>
      <family val="2"/>
      <scheme val="minor"/>
    </font>
    <font>
      <b/>
      <sz val="11"/>
      <color rgb="FF000000"/>
      <name val="Calibri"/>
      <family val="2"/>
      <scheme val="minor"/>
    </font>
    <font>
      <i/>
      <sz val="11"/>
      <name val="Calibri"/>
      <family val="2"/>
      <scheme val="minor"/>
    </font>
    <font>
      <b/>
      <sz val="10"/>
      <color rgb="FFFF0000"/>
      <name val="Arial"/>
      <family val="2"/>
    </font>
    <font>
      <b/>
      <sz val="11"/>
      <color rgb="FFFF0000"/>
      <name val="Calibri"/>
      <family val="2"/>
      <scheme val="minor"/>
    </font>
    <font>
      <b/>
      <sz val="11"/>
      <color rgb="FF0000FF"/>
      <name val="Calibri"/>
      <family val="2"/>
      <scheme val="minor"/>
    </font>
    <font>
      <sz val="12"/>
      <color theme="1"/>
      <name val="Times New Roman"/>
      <family val="1"/>
    </font>
    <font>
      <b/>
      <sz val="12"/>
      <color theme="1"/>
      <name val="Times New Roman"/>
      <family val="1"/>
    </font>
    <font>
      <b/>
      <u/>
      <sz val="11"/>
      <color theme="1"/>
      <name val="Calibri"/>
      <family val="2"/>
      <scheme val="minor"/>
    </font>
    <font>
      <sz val="11"/>
      <color rgb="FF000000"/>
      <name val="Calibri"/>
      <family val="2"/>
    </font>
  </fonts>
  <fills count="16">
    <fill>
      <patternFill patternType="none"/>
    </fill>
    <fill>
      <patternFill patternType="gray125"/>
    </fill>
    <fill>
      <patternFill patternType="solid">
        <fgColor indexed="65"/>
        <bgColor indexed="64"/>
      </patternFill>
    </fill>
    <fill>
      <patternFill patternType="solid">
        <fgColor indexed="26"/>
        <bgColor indexed="64"/>
      </patternFill>
    </fill>
    <fill>
      <patternFill patternType="solid">
        <fgColor indexed="26"/>
        <bgColor indexed="8"/>
      </patternFill>
    </fill>
    <fill>
      <patternFill patternType="solid">
        <fgColor theme="1"/>
        <bgColor indexed="64"/>
      </patternFill>
    </fill>
    <fill>
      <patternFill patternType="solid">
        <fgColor theme="0" tint="-0.249977111117893"/>
        <bgColor indexed="64"/>
      </patternFill>
    </fill>
    <fill>
      <patternFill patternType="solid">
        <fgColor rgb="FFFFFFCC"/>
        <bgColor indexed="64"/>
      </patternFill>
    </fill>
    <fill>
      <patternFill patternType="solid">
        <fgColor rgb="FFFFFFFF"/>
        <bgColor indexed="64"/>
      </patternFill>
    </fill>
    <fill>
      <patternFill patternType="solid">
        <fgColor rgb="FFFFC000"/>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rgb="FFFFFFCC"/>
        <bgColor rgb="FF000000"/>
      </patternFill>
    </fill>
    <fill>
      <patternFill patternType="solid">
        <fgColor rgb="FFFF0000"/>
        <bgColor indexed="64"/>
      </patternFill>
    </fill>
    <fill>
      <patternFill patternType="solid">
        <fgColor theme="7" tint="0.59999389629810485"/>
        <bgColor indexed="64"/>
      </patternFill>
    </fill>
  </fills>
  <borders count="41">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8"/>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s>
  <cellStyleXfs count="3">
    <xf numFmtId="0" fontId="0" fillId="0" borderId="0"/>
    <xf numFmtId="43" fontId="9" fillId="0" borderId="0" applyFont="0" applyFill="0" applyBorder="0" applyAlignment="0" applyProtection="0"/>
    <xf numFmtId="9" fontId="9" fillId="0" borderId="0" applyFont="0" applyFill="0" applyBorder="0" applyAlignment="0" applyProtection="0"/>
  </cellStyleXfs>
  <cellXfs count="285">
    <xf numFmtId="0" fontId="0" fillId="0" borderId="0" xfId="0"/>
    <xf numFmtId="43" fontId="0" fillId="0" borderId="0" xfId="0" applyNumberFormat="1"/>
    <xf numFmtId="0" fontId="0" fillId="0" borderId="1" xfId="0" applyBorder="1"/>
    <xf numFmtId="0" fontId="0" fillId="0" borderId="0" xfId="0" applyAlignment="1">
      <alignment horizontal="right"/>
    </xf>
    <xf numFmtId="0" fontId="0" fillId="0" borderId="0" xfId="0" applyAlignment="1">
      <alignment horizontal="center"/>
    </xf>
    <xf numFmtId="0" fontId="0" fillId="5" borderId="0" xfId="0" applyFill="1" applyAlignment="1">
      <alignment horizontal="center"/>
    </xf>
    <xf numFmtId="0" fontId="1" fillId="2" borderId="0" xfId="0" applyFont="1" applyFill="1"/>
    <xf numFmtId="37" fontId="1" fillId="2" borderId="0" xfId="0" applyNumberFormat="1" applyFont="1" applyFill="1"/>
    <xf numFmtId="49" fontId="3" fillId="2" borderId="0" xfId="0" applyNumberFormat="1" applyFont="1" applyFill="1"/>
    <xf numFmtId="0" fontId="1" fillId="0" borderId="0" xfId="0" applyFont="1"/>
    <xf numFmtId="0" fontId="4" fillId="0" borderId="0" xfId="0" applyFont="1"/>
    <xf numFmtId="49" fontId="2" fillId="2" borderId="0" xfId="0" applyNumberFormat="1" applyFont="1" applyFill="1"/>
    <xf numFmtId="37" fontId="4" fillId="2" borderId="0" xfId="0" applyNumberFormat="1" applyFont="1" applyFill="1"/>
    <xf numFmtId="3" fontId="2" fillId="4" borderId="11" xfId="0" applyNumberFormat="1" applyFont="1" applyFill="1" applyBorder="1" applyProtection="1">
      <protection locked="0"/>
    </xf>
    <xf numFmtId="3" fontId="2" fillId="4" borderId="12" xfId="0" applyNumberFormat="1" applyFont="1" applyFill="1" applyBorder="1" applyProtection="1">
      <protection locked="0"/>
    </xf>
    <xf numFmtId="3" fontId="2" fillId="4" borderId="13" xfId="0" applyNumberFormat="1" applyFont="1" applyFill="1" applyBorder="1" applyProtection="1">
      <protection locked="0"/>
    </xf>
    <xf numFmtId="49" fontId="5" fillId="2" borderId="0" xfId="0" applyNumberFormat="1" applyFont="1" applyFill="1"/>
    <xf numFmtId="3" fontId="2" fillId="2" borderId="0" xfId="0" applyNumberFormat="1" applyFont="1" applyFill="1" applyAlignment="1">
      <alignment horizontal="left"/>
    </xf>
    <xf numFmtId="3" fontId="1" fillId="2" borderId="0" xfId="0" applyNumberFormat="1" applyFont="1" applyFill="1"/>
    <xf numFmtId="3" fontId="4" fillId="2" borderId="0" xfId="0" applyNumberFormat="1" applyFont="1" applyFill="1"/>
    <xf numFmtId="3" fontId="4" fillId="0" borderId="0" xfId="0" applyNumberFormat="1" applyFont="1"/>
    <xf numFmtId="3" fontId="1" fillId="2" borderId="0" xfId="0" quotePrefix="1" applyNumberFormat="1" applyFont="1" applyFill="1" applyAlignment="1">
      <alignment horizontal="left"/>
    </xf>
    <xf numFmtId="3" fontId="1" fillId="2" borderId="0" xfId="0" applyNumberFormat="1" applyFont="1" applyFill="1" applyAlignment="1">
      <alignment horizontal="left"/>
    </xf>
    <xf numFmtId="3" fontId="6" fillId="0" borderId="0" xfId="0" applyNumberFormat="1" applyFont="1"/>
    <xf numFmtId="3" fontId="6" fillId="2" borderId="0" xfId="0" applyNumberFormat="1" applyFont="1" applyFill="1"/>
    <xf numFmtId="3" fontId="7" fillId="2" borderId="0" xfId="0" applyNumberFormat="1" applyFont="1" applyFill="1"/>
    <xf numFmtId="3" fontId="1" fillId="2" borderId="0" xfId="0" applyNumberFormat="1" applyFont="1" applyFill="1" applyAlignment="1">
      <alignment horizontal="center"/>
    </xf>
    <xf numFmtId="3" fontId="1" fillId="2" borderId="1" xfId="0" applyNumberFormat="1" applyFont="1" applyFill="1" applyBorder="1"/>
    <xf numFmtId="0" fontId="8" fillId="0" borderId="0" xfId="0" applyFont="1"/>
    <xf numFmtId="43" fontId="10" fillId="0" borderId="0" xfId="0" applyNumberFormat="1" applyFont="1"/>
    <xf numFmtId="43" fontId="10" fillId="0" borderId="1" xfId="1" applyFont="1" applyBorder="1"/>
    <xf numFmtId="43" fontId="10" fillId="0" borderId="0" xfId="1" applyFont="1" applyBorder="1"/>
    <xf numFmtId="9" fontId="0" fillId="0" borderId="0" xfId="2" applyFont="1"/>
    <xf numFmtId="43" fontId="0" fillId="0" borderId="0" xfId="1" applyFont="1"/>
    <xf numFmtId="0" fontId="11" fillId="0" borderId="0" xfId="0" applyFont="1" applyAlignment="1">
      <alignment horizontal="center"/>
    </xf>
    <xf numFmtId="0" fontId="0" fillId="0" borderId="0" xfId="0" applyProtection="1">
      <protection locked="0"/>
    </xf>
    <xf numFmtId="43" fontId="0" fillId="0" borderId="0" xfId="0" applyNumberFormat="1" applyProtection="1">
      <protection locked="0"/>
    </xf>
    <xf numFmtId="43" fontId="10" fillId="6" borderId="0" xfId="0" applyNumberFormat="1" applyFont="1" applyFill="1"/>
    <xf numFmtId="43" fontId="10" fillId="6" borderId="0" xfId="1" applyFont="1" applyFill="1" applyProtection="1"/>
    <xf numFmtId="43" fontId="10" fillId="6" borderId="1" xfId="1" applyFont="1" applyFill="1" applyBorder="1" applyProtection="1"/>
    <xf numFmtId="43" fontId="10" fillId="6" borderId="3" xfId="0" applyNumberFormat="1" applyFont="1" applyFill="1" applyBorder="1"/>
    <xf numFmtId="43" fontId="10" fillId="6" borderId="3" xfId="1" applyFont="1" applyFill="1" applyBorder="1" applyProtection="1"/>
    <xf numFmtId="10" fontId="0" fillId="6" borderId="1" xfId="2" applyNumberFormat="1" applyFont="1" applyFill="1" applyBorder="1" applyProtection="1">
      <protection locked="0"/>
    </xf>
    <xf numFmtId="43" fontId="0" fillId="6" borderId="1" xfId="1" applyFont="1" applyFill="1" applyBorder="1" applyProtection="1">
      <protection locked="0"/>
    </xf>
    <xf numFmtId="164" fontId="0" fillId="6" borderId="1" xfId="2" applyNumberFormat="1" applyFont="1" applyFill="1" applyBorder="1" applyProtection="1">
      <protection locked="0"/>
    </xf>
    <xf numFmtId="0" fontId="0" fillId="5" borderId="5" xfId="0" applyFill="1" applyBorder="1"/>
    <xf numFmtId="43" fontId="10" fillId="6" borderId="5" xfId="0" applyNumberFormat="1" applyFont="1" applyFill="1" applyBorder="1"/>
    <xf numFmtId="43" fontId="0" fillId="5" borderId="5" xfId="0" applyNumberFormat="1" applyFill="1" applyBorder="1"/>
    <xf numFmtId="0" fontId="0" fillId="0" borderId="5" xfId="0" applyBorder="1" applyProtection="1">
      <protection locked="0"/>
    </xf>
    <xf numFmtId="0" fontId="0" fillId="0" borderId="5" xfId="0" applyBorder="1"/>
    <xf numFmtId="43" fontId="0" fillId="0" borderId="2" xfId="0" applyNumberFormat="1" applyBorder="1"/>
    <xf numFmtId="43" fontId="0" fillId="6" borderId="0" xfId="0" applyNumberFormat="1" applyFill="1"/>
    <xf numFmtId="0" fontId="11" fillId="0" borderId="5" xfId="0" applyFont="1" applyBorder="1" applyAlignment="1">
      <alignment horizontal="center"/>
    </xf>
    <xf numFmtId="43" fontId="10" fillId="6" borderId="5" xfId="1" applyFont="1" applyFill="1" applyBorder="1"/>
    <xf numFmtId="0" fontId="11" fillId="0" borderId="2" xfId="0" applyFont="1" applyBorder="1" applyAlignment="1">
      <alignment horizontal="center"/>
    </xf>
    <xf numFmtId="43" fontId="0" fillId="7" borderId="5" xfId="1" applyFont="1" applyFill="1" applyBorder="1"/>
    <xf numFmtId="43" fontId="0" fillId="7" borderId="5" xfId="0" applyNumberFormat="1" applyFill="1" applyBorder="1"/>
    <xf numFmtId="0" fontId="0" fillId="7" borderId="5" xfId="0" applyFill="1" applyBorder="1" applyAlignment="1">
      <alignment horizontal="center"/>
    </xf>
    <xf numFmtId="0" fontId="0" fillId="7" borderId="2" xfId="0" applyFill="1" applyBorder="1" applyAlignment="1">
      <alignment horizontal="center"/>
    </xf>
    <xf numFmtId="43" fontId="0" fillId="7" borderId="5" xfId="1" applyFont="1" applyFill="1" applyBorder="1" applyProtection="1">
      <protection locked="0"/>
    </xf>
    <xf numFmtId="0" fontId="0" fillId="5" borderId="0" xfId="0" applyFill="1"/>
    <xf numFmtId="43" fontId="12" fillId="7" borderId="5" xfId="1" applyFont="1" applyFill="1" applyBorder="1"/>
    <xf numFmtId="43" fontId="10" fillId="6" borderId="7" xfId="1" applyFont="1" applyFill="1" applyBorder="1"/>
    <xf numFmtId="3" fontId="2" fillId="0" borderId="0" xfId="0" applyNumberFormat="1" applyFont="1" applyProtection="1">
      <protection locked="0"/>
    </xf>
    <xf numFmtId="43" fontId="2" fillId="4" borderId="5" xfId="1" applyFont="1" applyFill="1" applyBorder="1" applyProtection="1">
      <protection locked="0"/>
    </xf>
    <xf numFmtId="43" fontId="1" fillId="2" borderId="1" xfId="1" applyFont="1" applyFill="1" applyBorder="1" applyProtection="1"/>
    <xf numFmtId="43" fontId="1" fillId="2" borderId="0" xfId="1" applyFont="1" applyFill="1" applyProtection="1"/>
    <xf numFmtId="43" fontId="6" fillId="0" borderId="14" xfId="1" applyFont="1" applyFill="1" applyBorder="1" applyProtection="1"/>
    <xf numFmtId="43" fontId="10" fillId="5" borderId="5" xfId="0" applyNumberFormat="1" applyFont="1" applyFill="1" applyBorder="1"/>
    <xf numFmtId="0" fontId="10" fillId="5" borderId="5" xfId="0" applyFont="1" applyFill="1" applyBorder="1"/>
    <xf numFmtId="10" fontId="0" fillId="7" borderId="5" xfId="2" applyNumberFormat="1" applyFont="1" applyFill="1" applyBorder="1" applyProtection="1">
      <protection locked="0"/>
    </xf>
    <xf numFmtId="0" fontId="13" fillId="8" borderId="5" xfId="0" applyFont="1" applyFill="1" applyBorder="1" applyAlignment="1">
      <alignment horizontal="center" vertical="center" wrapText="1"/>
    </xf>
    <xf numFmtId="14" fontId="0" fillId="7" borderId="5" xfId="0" applyNumberFormat="1" applyFill="1" applyBorder="1" applyProtection="1">
      <protection locked="0"/>
    </xf>
    <xf numFmtId="0" fontId="0" fillId="7" borderId="5" xfId="1" applyNumberFormat="1" applyFont="1" applyFill="1" applyBorder="1" applyAlignment="1" applyProtection="1">
      <alignment horizontal="center"/>
      <protection locked="0"/>
    </xf>
    <xf numFmtId="43" fontId="0" fillId="7" borderId="5" xfId="1" applyFont="1" applyFill="1" applyBorder="1" applyAlignment="1" applyProtection="1">
      <alignment horizontal="center"/>
      <protection locked="0"/>
    </xf>
    <xf numFmtId="43" fontId="6" fillId="0" borderId="0" xfId="1" applyFont="1" applyFill="1" applyProtection="1"/>
    <xf numFmtId="3" fontId="1" fillId="6" borderId="5" xfId="0" applyNumberFormat="1" applyFont="1" applyFill="1" applyBorder="1" applyProtection="1">
      <protection locked="0"/>
    </xf>
    <xf numFmtId="0" fontId="0" fillId="6" borderId="5" xfId="0" applyFill="1" applyBorder="1" applyProtection="1">
      <protection locked="0"/>
    </xf>
    <xf numFmtId="10" fontId="0" fillId="6" borderId="5" xfId="2" applyNumberFormat="1" applyFont="1" applyFill="1" applyBorder="1" applyProtection="1">
      <protection locked="0"/>
    </xf>
    <xf numFmtId="43" fontId="10" fillId="6" borderId="5" xfId="1" applyFont="1" applyFill="1" applyBorder="1" applyProtection="1">
      <protection locked="0"/>
    </xf>
    <xf numFmtId="0" fontId="11" fillId="7" borderId="5" xfId="0" applyFont="1" applyFill="1" applyBorder="1" applyAlignment="1" applyProtection="1">
      <alignment horizontal="center"/>
      <protection locked="0"/>
    </xf>
    <xf numFmtId="0" fontId="11" fillId="7" borderId="5" xfId="0" applyFont="1" applyFill="1" applyBorder="1" applyAlignment="1">
      <alignment horizontal="center"/>
    </xf>
    <xf numFmtId="0" fontId="11" fillId="7" borderId="2" xfId="0" applyFont="1" applyFill="1" applyBorder="1" applyAlignment="1">
      <alignment horizontal="center"/>
    </xf>
    <xf numFmtId="0" fontId="11" fillId="0" borderId="0" xfId="0" applyFont="1" applyAlignment="1" applyProtection="1">
      <alignment horizontal="center"/>
      <protection locked="0"/>
    </xf>
    <xf numFmtId="43" fontId="10" fillId="6" borderId="5" xfId="1" applyFont="1" applyFill="1" applyBorder="1" applyProtection="1"/>
    <xf numFmtId="0" fontId="0" fillId="7" borderId="5" xfId="0" applyFill="1" applyBorder="1" applyAlignment="1" applyProtection="1">
      <alignment horizontal="center"/>
      <protection locked="0"/>
    </xf>
    <xf numFmtId="0" fontId="11" fillId="0" borderId="5" xfId="0" applyFont="1" applyBorder="1" applyAlignment="1" applyProtection="1">
      <alignment horizontal="center"/>
      <protection locked="0"/>
    </xf>
    <xf numFmtId="43" fontId="11" fillId="7" borderId="5" xfId="1" applyFont="1" applyFill="1" applyBorder="1" applyAlignment="1" applyProtection="1">
      <alignment horizontal="center"/>
      <protection locked="0"/>
    </xf>
    <xf numFmtId="43" fontId="0" fillId="9" borderId="5" xfId="1" applyFont="1" applyFill="1" applyBorder="1" applyProtection="1">
      <protection locked="0"/>
    </xf>
    <xf numFmtId="43" fontId="10" fillId="6" borderId="10" xfId="0" applyNumberFormat="1" applyFont="1" applyFill="1" applyBorder="1"/>
    <xf numFmtId="0" fontId="11" fillId="0" borderId="16" xfId="0" applyFont="1" applyBorder="1"/>
    <xf numFmtId="0" fontId="11" fillId="0" borderId="0" xfId="0" applyFont="1"/>
    <xf numFmtId="0" fontId="0" fillId="0" borderId="0" xfId="0" applyAlignment="1">
      <alignment horizontal="left"/>
    </xf>
    <xf numFmtId="0" fontId="0" fillId="0" borderId="17" xfId="0" applyBorder="1"/>
    <xf numFmtId="0" fontId="0" fillId="0" borderId="18" xfId="0" applyBorder="1"/>
    <xf numFmtId="0" fontId="0" fillId="0" borderId="2" xfId="0" applyBorder="1"/>
    <xf numFmtId="0" fontId="0" fillId="0" borderId="4" xfId="0" applyBorder="1"/>
    <xf numFmtId="0" fontId="0" fillId="0" borderId="19" xfId="0" applyBorder="1"/>
    <xf numFmtId="0" fontId="0" fillId="0" borderId="3" xfId="0" applyBorder="1"/>
    <xf numFmtId="165" fontId="0" fillId="7" borderId="5" xfId="1" applyNumberFormat="1" applyFont="1" applyFill="1" applyBorder="1" applyProtection="1">
      <protection locked="0"/>
    </xf>
    <xf numFmtId="165" fontId="0" fillId="0" borderId="0" xfId="0" applyNumberFormat="1"/>
    <xf numFmtId="165" fontId="0" fillId="0" borderId="4" xfId="0" applyNumberFormat="1" applyBorder="1"/>
    <xf numFmtId="165" fontId="0" fillId="7" borderId="19" xfId="1" applyNumberFormat="1" applyFont="1" applyFill="1" applyBorder="1" applyProtection="1">
      <protection locked="0"/>
    </xf>
    <xf numFmtId="165" fontId="0" fillId="7" borderId="5" xfId="1" applyNumberFormat="1" applyFont="1" applyFill="1" applyBorder="1" applyAlignment="1" applyProtection="1">
      <alignment horizontal="center"/>
      <protection locked="0"/>
    </xf>
    <xf numFmtId="165" fontId="10" fillId="6" borderId="5" xfId="1" applyNumberFormat="1" applyFont="1" applyFill="1" applyBorder="1"/>
    <xf numFmtId="165" fontId="10" fillId="6" borderId="4" xfId="1" applyNumberFormat="1" applyFont="1" applyFill="1" applyBorder="1"/>
    <xf numFmtId="0" fontId="0" fillId="0" borderId="8" xfId="0" applyBorder="1"/>
    <xf numFmtId="0" fontId="0" fillId="0" borderId="9" xfId="0" applyBorder="1"/>
    <xf numFmtId="0" fontId="0" fillId="0" borderId="15" xfId="0" applyBorder="1"/>
    <xf numFmtId="165" fontId="10" fillId="6" borderId="10" xfId="1" applyNumberFormat="1" applyFont="1" applyFill="1" applyBorder="1"/>
    <xf numFmtId="165" fontId="0" fillId="7" borderId="4" xfId="1" applyNumberFormat="1" applyFont="1" applyFill="1" applyBorder="1" applyProtection="1">
      <protection locked="0"/>
    </xf>
    <xf numFmtId="165" fontId="0" fillId="9" borderId="5" xfId="1" applyNumberFormat="1" applyFont="1" applyFill="1" applyBorder="1"/>
    <xf numFmtId="165" fontId="10" fillId="0" borderId="0" xfId="1" applyNumberFormat="1" applyFont="1" applyFill="1" applyBorder="1"/>
    <xf numFmtId="0" fontId="0" fillId="0" borderId="10" xfId="0" applyBorder="1" applyAlignment="1">
      <alignment horizontal="center"/>
    </xf>
    <xf numFmtId="43" fontId="0" fillId="0" borderId="0" xfId="1" applyFont="1" applyFill="1" applyBorder="1"/>
    <xf numFmtId="43" fontId="10" fillId="0" borderId="0" xfId="1" applyFont="1" applyFill="1" applyBorder="1"/>
    <xf numFmtId="165" fontId="0" fillId="0" borderId="0" xfId="1" applyNumberFormat="1" applyFont="1"/>
    <xf numFmtId="0" fontId="0" fillId="0" borderId="16" xfId="0" applyBorder="1"/>
    <xf numFmtId="165" fontId="0" fillId="0" borderId="0" xfId="1" applyNumberFormat="1" applyFont="1" applyFill="1"/>
    <xf numFmtId="165" fontId="0" fillId="0" borderId="0" xfId="1" applyNumberFormat="1" applyFont="1" applyFill="1" applyBorder="1"/>
    <xf numFmtId="43" fontId="0" fillId="5" borderId="0" xfId="0" applyNumberFormat="1" applyFill="1"/>
    <xf numFmtId="165" fontId="8" fillId="0" borderId="0" xfId="1" applyNumberFormat="1" applyFont="1" applyFill="1" applyBorder="1"/>
    <xf numFmtId="0" fontId="11" fillId="0" borderId="19" xfId="0" applyFont="1" applyBorder="1"/>
    <xf numFmtId="43" fontId="12" fillId="6" borderId="5" xfId="1" applyFont="1" applyFill="1" applyBorder="1"/>
    <xf numFmtId="41" fontId="9" fillId="0" borderId="0" xfId="1" applyNumberFormat="1" applyFont="1"/>
    <xf numFmtId="41" fontId="0" fillId="0" borderId="0" xfId="0" applyNumberFormat="1"/>
    <xf numFmtId="41" fontId="0" fillId="0" borderId="1" xfId="0" applyNumberFormat="1" applyBorder="1"/>
    <xf numFmtId="164" fontId="9" fillId="0" borderId="1" xfId="2" applyNumberFormat="1" applyFont="1" applyBorder="1"/>
    <xf numFmtId="166" fontId="0" fillId="0" borderId="6" xfId="0" applyNumberFormat="1" applyBorder="1"/>
    <xf numFmtId="0" fontId="0" fillId="10" borderId="0" xfId="0" applyFill="1"/>
    <xf numFmtId="41" fontId="9" fillId="0" borderId="1" xfId="1" applyNumberFormat="1" applyFont="1" applyBorder="1"/>
    <xf numFmtId="0" fontId="11" fillId="0" borderId="0" xfId="0" applyFont="1" applyProtection="1">
      <protection locked="0"/>
    </xf>
    <xf numFmtId="37" fontId="2" fillId="3" borderId="0" xfId="0" applyNumberFormat="1" applyFont="1" applyFill="1" applyAlignment="1" applyProtection="1">
      <alignment horizontal="center"/>
      <protection locked="0"/>
    </xf>
    <xf numFmtId="37" fontId="11" fillId="0" borderId="0" xfId="0" applyNumberFormat="1" applyFont="1" applyAlignment="1">
      <alignment horizontal="center"/>
    </xf>
    <xf numFmtId="37" fontId="2" fillId="0" borderId="0" xfId="0" applyNumberFormat="1" applyFont="1" applyAlignment="1" applyProtection="1">
      <alignment horizontal="center"/>
      <protection locked="0"/>
    </xf>
    <xf numFmtId="0" fontId="15" fillId="2" borderId="0" xfId="0" applyFont="1" applyFill="1" applyAlignment="1">
      <alignment horizontal="left"/>
    </xf>
    <xf numFmtId="43" fontId="0" fillId="6" borderId="5" xfId="0" applyNumberFormat="1" applyFill="1" applyBorder="1"/>
    <xf numFmtId="43" fontId="0" fillId="6" borderId="5" xfId="1" applyFont="1" applyFill="1" applyBorder="1" applyAlignment="1">
      <alignment horizontal="center"/>
    </xf>
    <xf numFmtId="43" fontId="0" fillId="0" borderId="5" xfId="1" applyFont="1" applyFill="1" applyBorder="1"/>
    <xf numFmtId="43" fontId="10" fillId="0" borderId="5" xfId="1" applyFont="1" applyFill="1" applyBorder="1"/>
    <xf numFmtId="37" fontId="0" fillId="0" borderId="0" xfId="0" applyNumberFormat="1"/>
    <xf numFmtId="37" fontId="0" fillId="6" borderId="5" xfId="0" applyNumberFormat="1" applyFill="1" applyBorder="1"/>
    <xf numFmtId="43" fontId="10" fillId="6" borderId="1" xfId="0" applyNumberFormat="1" applyFont="1" applyFill="1" applyBorder="1"/>
    <xf numFmtId="0" fontId="0" fillId="0" borderId="0" xfId="0" applyAlignment="1">
      <alignment horizontal="left" indent="1"/>
    </xf>
    <xf numFmtId="0" fontId="11" fillId="0" borderId="0" xfId="0" applyFont="1" applyAlignment="1">
      <alignment horizontal="right"/>
    </xf>
    <xf numFmtId="0" fontId="11" fillId="0" borderId="16" xfId="0" applyFont="1" applyBorder="1" applyAlignment="1">
      <alignment horizontal="right"/>
    </xf>
    <xf numFmtId="0" fontId="0" fillId="0" borderId="16" xfId="0" applyBorder="1" applyAlignment="1">
      <alignment horizontal="right"/>
    </xf>
    <xf numFmtId="165" fontId="10" fillId="6" borderId="3" xfId="1" applyNumberFormat="1" applyFont="1" applyFill="1" applyBorder="1"/>
    <xf numFmtId="0" fontId="12" fillId="5" borderId="5" xfId="0" applyFont="1" applyFill="1" applyBorder="1"/>
    <xf numFmtId="165" fontId="10" fillId="6" borderId="5" xfId="1" applyNumberFormat="1" applyFont="1" applyFill="1" applyBorder="1" applyProtection="1"/>
    <xf numFmtId="165" fontId="17" fillId="6" borderId="5" xfId="1" applyNumberFormat="1" applyFont="1" applyFill="1" applyBorder="1" applyProtection="1"/>
    <xf numFmtId="0" fontId="16" fillId="0" borderId="0" xfId="0" applyFont="1"/>
    <xf numFmtId="165" fontId="0" fillId="9" borderId="0" xfId="1" applyNumberFormat="1" applyFont="1" applyFill="1"/>
    <xf numFmtId="165" fontId="10" fillId="6" borderId="5" xfId="1" applyNumberFormat="1" applyFont="1" applyFill="1" applyBorder="1" applyProtection="1">
      <protection locked="0"/>
    </xf>
    <xf numFmtId="43" fontId="0" fillId="0" borderId="0" xfId="1" applyFont="1" applyFill="1" applyBorder="1" applyProtection="1">
      <protection locked="0"/>
    </xf>
    <xf numFmtId="165" fontId="0" fillId="0" borderId="0" xfId="1" applyNumberFormat="1" applyFont="1" applyFill="1" applyBorder="1" applyProtection="1">
      <protection locked="0"/>
    </xf>
    <xf numFmtId="3" fontId="2" fillId="0" borderId="0" xfId="0" applyNumberFormat="1" applyFont="1" applyAlignment="1" applyProtection="1">
      <alignment horizontal="left"/>
      <protection locked="0"/>
    </xf>
    <xf numFmtId="3" fontId="2" fillId="0" borderId="0" xfId="0" applyNumberFormat="1" applyFont="1" applyAlignment="1" applyProtection="1">
      <alignment horizontal="center"/>
      <protection locked="0"/>
    </xf>
    <xf numFmtId="4" fontId="0" fillId="11" borderId="5" xfId="0" applyNumberFormat="1" applyFill="1" applyBorder="1"/>
    <xf numFmtId="167" fontId="0" fillId="7" borderId="5" xfId="0" applyNumberFormat="1" applyFill="1" applyBorder="1"/>
    <xf numFmtId="4" fontId="0" fillId="7" borderId="5" xfId="0" applyNumberFormat="1" applyFill="1" applyBorder="1"/>
    <xf numFmtId="0" fontId="0" fillId="7" borderId="5" xfId="0" applyFill="1" applyBorder="1" applyAlignment="1">
      <alignment horizontal="left"/>
    </xf>
    <xf numFmtId="0" fontId="11" fillId="7" borderId="5" xfId="0" applyFont="1" applyFill="1" applyBorder="1" applyAlignment="1">
      <alignment horizontal="left"/>
    </xf>
    <xf numFmtId="4" fontId="0" fillId="11" borderId="18" xfId="0" applyNumberFormat="1" applyFill="1" applyBorder="1"/>
    <xf numFmtId="4" fontId="0" fillId="11" borderId="19" xfId="0" applyNumberFormat="1" applyFill="1" applyBorder="1"/>
    <xf numFmtId="4" fontId="0" fillId="0" borderId="0" xfId="0" applyNumberFormat="1"/>
    <xf numFmtId="39" fontId="0" fillId="0" borderId="0" xfId="0" applyNumberFormat="1"/>
    <xf numFmtId="0" fontId="0" fillId="7" borderId="5" xfId="0" applyFill="1" applyBorder="1"/>
    <xf numFmtId="0" fontId="18" fillId="0" borderId="0" xfId="0" applyFont="1" applyAlignment="1">
      <alignment horizontal="center"/>
    </xf>
    <xf numFmtId="165" fontId="18" fillId="0" borderId="0" xfId="1" applyNumberFormat="1" applyFont="1" applyFill="1" applyAlignment="1">
      <alignment horizontal="center"/>
    </xf>
    <xf numFmtId="43" fontId="18" fillId="0" borderId="0" xfId="1" applyFont="1" applyFill="1" applyAlignment="1">
      <alignment horizontal="center"/>
    </xf>
    <xf numFmtId="0" fontId="18" fillId="0" borderId="0" xfId="0" applyFont="1" applyAlignment="1">
      <alignment horizontal="left"/>
    </xf>
    <xf numFmtId="0" fontId="18" fillId="0" borderId="0" xfId="0" applyFont="1"/>
    <xf numFmtId="165" fontId="18" fillId="0" borderId="1" xfId="1" applyNumberFormat="1" applyFont="1" applyBorder="1"/>
    <xf numFmtId="165" fontId="18" fillId="0" borderId="0" xfId="0" applyNumberFormat="1" applyFont="1"/>
    <xf numFmtId="0" fontId="19" fillId="0" borderId="0" xfId="0" applyFont="1"/>
    <xf numFmtId="0" fontId="18" fillId="0" borderId="24" xfId="0" applyFont="1" applyBorder="1"/>
    <xf numFmtId="165" fontId="18" fillId="0" borderId="0" xfId="1" applyNumberFormat="1" applyFont="1" applyBorder="1"/>
    <xf numFmtId="165" fontId="18" fillId="0" borderId="1" xfId="0" applyNumberFormat="1" applyFont="1" applyBorder="1"/>
    <xf numFmtId="0" fontId="18" fillId="0" borderId="23" xfId="0" applyFont="1" applyBorder="1"/>
    <xf numFmtId="0" fontId="18" fillId="0" borderId="20" xfId="0" applyFont="1" applyBorder="1"/>
    <xf numFmtId="0" fontId="18" fillId="0" borderId="21" xfId="0" applyFont="1" applyBorder="1"/>
    <xf numFmtId="165" fontId="18" fillId="0" borderId="21" xfId="1" applyNumberFormat="1" applyFont="1" applyFill="1" applyBorder="1"/>
    <xf numFmtId="0" fontId="18" fillId="0" borderId="22" xfId="0" applyFont="1" applyBorder="1"/>
    <xf numFmtId="0" fontId="19" fillId="0" borderId="17" xfId="0" applyFont="1" applyBorder="1"/>
    <xf numFmtId="165" fontId="18" fillId="0" borderId="21" xfId="0" applyNumberFormat="1" applyFont="1" applyBorder="1"/>
    <xf numFmtId="0" fontId="18" fillId="0" borderId="24" xfId="0" applyFont="1" applyBorder="1" applyAlignment="1">
      <alignment horizontal="center"/>
    </xf>
    <xf numFmtId="0" fontId="18" fillId="0" borderId="25" xfId="0" applyFont="1" applyBorder="1"/>
    <xf numFmtId="166" fontId="18" fillId="0" borderId="1" xfId="0" applyNumberFormat="1" applyFont="1" applyBorder="1"/>
    <xf numFmtId="168" fontId="18" fillId="0" borderId="21" xfId="0" applyNumberFormat="1" applyFont="1" applyBorder="1"/>
    <xf numFmtId="0" fontId="19" fillId="0" borderId="22" xfId="0" applyFont="1" applyBorder="1"/>
    <xf numFmtId="168" fontId="18" fillId="0" borderId="0" xfId="0" applyNumberFormat="1" applyFont="1"/>
    <xf numFmtId="37" fontId="0" fillId="7" borderId="5" xfId="0" applyNumberFormat="1" applyFill="1" applyBorder="1"/>
    <xf numFmtId="37" fontId="0" fillId="11" borderId="5" xfId="0" applyNumberFormat="1" applyFill="1" applyBorder="1"/>
    <xf numFmtId="37" fontId="0" fillId="11" borderId="5" xfId="0" applyNumberFormat="1" applyFill="1" applyBorder="1" applyAlignment="1">
      <alignment horizontal="center"/>
    </xf>
    <xf numFmtId="37" fontId="0" fillId="11" borderId="5" xfId="0" applyNumberFormat="1" applyFill="1" applyBorder="1" applyAlignment="1">
      <alignment horizontal="right"/>
    </xf>
    <xf numFmtId="165" fontId="0" fillId="0" borderId="0" xfId="1" applyNumberFormat="1" applyFont="1" applyFill="1" applyAlignment="1">
      <alignment horizontal="center"/>
    </xf>
    <xf numFmtId="169" fontId="0" fillId="0" borderId="0" xfId="2" applyNumberFormat="1" applyFont="1" applyFill="1"/>
    <xf numFmtId="165" fontId="11" fillId="0" borderId="26" xfId="0" applyNumberFormat="1" applyFont="1" applyBorder="1"/>
    <xf numFmtId="0" fontId="18" fillId="7" borderId="5" xfId="0" applyFont="1" applyFill="1" applyBorder="1" applyProtection="1">
      <protection locked="0"/>
    </xf>
    <xf numFmtId="165" fontId="18" fillId="7" borderId="5" xfId="1" applyNumberFormat="1" applyFont="1" applyFill="1" applyBorder="1" applyProtection="1">
      <protection locked="0"/>
    </xf>
    <xf numFmtId="165" fontId="0" fillId="0" borderId="0" xfId="1" applyNumberFormat="1" applyFont="1" applyBorder="1"/>
    <xf numFmtId="0" fontId="0" fillId="0" borderId="23" xfId="0" applyBorder="1"/>
    <xf numFmtId="0" fontId="0" fillId="0" borderId="24" xfId="0" applyBorder="1" applyAlignment="1">
      <alignment horizontal="center"/>
    </xf>
    <xf numFmtId="0" fontId="0" fillId="0" borderId="23" xfId="0" applyBorder="1" applyAlignment="1">
      <alignment horizontal="center"/>
    </xf>
    <xf numFmtId="0" fontId="0" fillId="0" borderId="24" xfId="0" applyBorder="1"/>
    <xf numFmtId="0" fontId="0" fillId="0" borderId="25" xfId="0" applyBorder="1" applyAlignment="1">
      <alignment horizontal="center"/>
    </xf>
    <xf numFmtId="9" fontId="0" fillId="0" borderId="1" xfId="0" applyNumberFormat="1" applyBorder="1" applyAlignment="1">
      <alignment horizontal="center"/>
    </xf>
    <xf numFmtId="0" fontId="0" fillId="0" borderId="1" xfId="0" applyBorder="1" applyAlignment="1">
      <alignment horizontal="center"/>
    </xf>
    <xf numFmtId="0" fontId="0" fillId="0" borderId="17" xfId="0" applyBorder="1" applyAlignment="1">
      <alignment horizontal="center"/>
    </xf>
    <xf numFmtId="165" fontId="0" fillId="11" borderId="5" xfId="1" applyNumberFormat="1" applyFont="1" applyFill="1" applyBorder="1" applyAlignment="1">
      <alignment horizontal="right"/>
    </xf>
    <xf numFmtId="165" fontId="0" fillId="11" borderId="5" xfId="1" applyNumberFormat="1" applyFont="1" applyFill="1" applyBorder="1"/>
    <xf numFmtId="43" fontId="18" fillId="7" borderId="5" xfId="0" applyNumberFormat="1" applyFont="1" applyFill="1" applyBorder="1" applyProtection="1">
      <protection locked="0"/>
    </xf>
    <xf numFmtId="43" fontId="0" fillId="5" borderId="0" xfId="0" applyNumberFormat="1" applyFill="1" applyProtection="1">
      <protection locked="0"/>
    </xf>
    <xf numFmtId="43" fontId="10" fillId="0" borderId="0" xfId="1" applyFont="1" applyFill="1" applyBorder="1" applyProtection="1">
      <protection locked="0"/>
    </xf>
    <xf numFmtId="0" fontId="0" fillId="6" borderId="0" xfId="0" applyFill="1" applyAlignment="1">
      <alignment horizontal="center"/>
    </xf>
    <xf numFmtId="0" fontId="0" fillId="6" borderId="5" xfId="0" applyFill="1" applyBorder="1"/>
    <xf numFmtId="43" fontId="0" fillId="0" borderId="5" xfId="0" applyNumberFormat="1" applyBorder="1"/>
    <xf numFmtId="14" fontId="0" fillId="7" borderId="5" xfId="0" applyNumberFormat="1" applyFill="1" applyBorder="1"/>
    <xf numFmtId="43" fontId="0" fillId="7" borderId="5" xfId="0" applyNumberFormat="1" applyFill="1" applyBorder="1" applyAlignment="1">
      <alignment horizontal="right"/>
    </xf>
    <xf numFmtId="0" fontId="0" fillId="9" borderId="5" xfId="0" applyFill="1" applyBorder="1"/>
    <xf numFmtId="0" fontId="11" fillId="0" borderId="5" xfId="0" applyFont="1" applyBorder="1"/>
    <xf numFmtId="43" fontId="0" fillId="0" borderId="5" xfId="0" applyNumberFormat="1" applyBorder="1" applyAlignment="1">
      <alignment horizontal="right"/>
    </xf>
    <xf numFmtId="14" fontId="0" fillId="0" borderId="5" xfId="0" applyNumberFormat="1" applyBorder="1"/>
    <xf numFmtId="43" fontId="0" fillId="12" borderId="5" xfId="1" applyFont="1" applyFill="1" applyBorder="1" applyProtection="1">
      <protection locked="0"/>
    </xf>
    <xf numFmtId="43" fontId="0" fillId="7" borderId="4" xfId="1" applyFont="1" applyFill="1" applyBorder="1" applyProtection="1">
      <protection locked="0"/>
    </xf>
    <xf numFmtId="14" fontId="21" fillId="13" borderId="5" xfId="0" applyNumberFormat="1" applyFont="1" applyFill="1" applyBorder="1"/>
    <xf numFmtId="0" fontId="11" fillId="14" borderId="0" xfId="0" applyFont="1" applyFill="1" applyProtection="1">
      <protection locked="0"/>
    </xf>
    <xf numFmtId="0" fontId="11" fillId="7" borderId="5" xfId="0" applyFont="1" applyFill="1" applyBorder="1" applyAlignment="1">
      <alignment horizontal="center" wrapText="1"/>
    </xf>
    <xf numFmtId="0" fontId="11" fillId="15" borderId="5" xfId="0" applyFont="1" applyFill="1" applyBorder="1" applyAlignment="1" applyProtection="1">
      <alignment horizontal="center"/>
      <protection locked="0"/>
    </xf>
    <xf numFmtId="0" fontId="0" fillId="15" borderId="5" xfId="1" applyNumberFormat="1" applyFont="1" applyFill="1" applyBorder="1" applyAlignment="1" applyProtection="1">
      <alignment horizontal="center"/>
      <protection locked="0"/>
    </xf>
    <xf numFmtId="0" fontId="0" fillId="5" borderId="0" xfId="0" applyFill="1" applyAlignment="1">
      <alignment horizontal="left" indent="1"/>
    </xf>
    <xf numFmtId="0" fontId="0" fillId="0" borderId="5" xfId="0" applyBorder="1" applyAlignment="1">
      <alignment horizontal="left"/>
    </xf>
    <xf numFmtId="3" fontId="2" fillId="4" borderId="8" xfId="0" applyNumberFormat="1" applyFont="1" applyFill="1" applyBorder="1" applyAlignment="1" applyProtection="1">
      <alignment horizontal="left"/>
      <protection locked="0"/>
    </xf>
    <xf numFmtId="3" fontId="2" fillId="4" borderId="9" xfId="0" applyNumberFormat="1" applyFont="1" applyFill="1" applyBorder="1" applyAlignment="1" applyProtection="1">
      <alignment horizontal="left"/>
      <protection locked="0"/>
    </xf>
    <xf numFmtId="3" fontId="2" fillId="4" borderId="15" xfId="0" applyNumberFormat="1" applyFont="1" applyFill="1" applyBorder="1" applyAlignment="1" applyProtection="1">
      <alignment horizontal="left"/>
      <protection locked="0"/>
    </xf>
    <xf numFmtId="3" fontId="2" fillId="6" borderId="8" xfId="0" applyNumberFormat="1" applyFont="1" applyFill="1" applyBorder="1" applyAlignment="1" applyProtection="1">
      <alignment horizontal="left"/>
      <protection locked="0"/>
    </xf>
    <xf numFmtId="3" fontId="2" fillId="6" borderId="9" xfId="0" applyNumberFormat="1" applyFont="1" applyFill="1" applyBorder="1" applyAlignment="1" applyProtection="1">
      <alignment horizontal="left"/>
      <protection locked="0"/>
    </xf>
    <xf numFmtId="3" fontId="2" fillId="6" borderId="15" xfId="0" applyNumberFormat="1" applyFont="1" applyFill="1" applyBorder="1" applyAlignment="1" applyProtection="1">
      <alignment horizontal="left"/>
      <protection locked="0"/>
    </xf>
    <xf numFmtId="165" fontId="0" fillId="7" borderId="2" xfId="1" applyNumberFormat="1" applyFont="1" applyFill="1" applyBorder="1" applyAlignment="1" applyProtection="1">
      <alignment wrapText="1"/>
      <protection locked="0"/>
    </xf>
    <xf numFmtId="0" fontId="0" fillId="0" borderId="4" xfId="0" applyBorder="1" applyAlignment="1">
      <alignment wrapText="1"/>
    </xf>
    <xf numFmtId="0" fontId="0" fillId="9" borderId="27" xfId="0" applyFill="1" applyBorder="1" applyAlignment="1" applyProtection="1">
      <alignment wrapText="1"/>
      <protection locked="0"/>
    </xf>
    <xf numFmtId="0" fontId="0" fillId="9" borderId="28" xfId="0" applyFill="1" applyBorder="1" applyAlignment="1">
      <alignment wrapText="1"/>
    </xf>
    <xf numFmtId="0" fontId="0" fillId="9" borderId="29" xfId="0" applyFill="1" applyBorder="1" applyAlignment="1">
      <alignment wrapText="1"/>
    </xf>
    <xf numFmtId="0" fontId="0" fillId="9" borderId="32" xfId="0" applyFill="1" applyBorder="1" applyAlignment="1">
      <alignment wrapText="1"/>
    </xf>
    <xf numFmtId="0" fontId="0" fillId="9" borderId="0" xfId="0" applyFill="1" applyAlignment="1">
      <alignment wrapText="1"/>
    </xf>
    <xf numFmtId="0" fontId="0" fillId="9" borderId="33" xfId="0" applyFill="1" applyBorder="1" applyAlignment="1">
      <alignment wrapText="1"/>
    </xf>
    <xf numFmtId="0" fontId="0" fillId="9" borderId="30" xfId="0" applyFill="1" applyBorder="1" applyAlignment="1">
      <alignment wrapText="1"/>
    </xf>
    <xf numFmtId="0" fontId="0" fillId="9" borderId="16" xfId="0" applyFill="1" applyBorder="1" applyAlignment="1">
      <alignment wrapText="1"/>
    </xf>
    <xf numFmtId="0" fontId="0" fillId="9" borderId="31" xfId="0" applyFill="1" applyBorder="1" applyAlignment="1">
      <alignment wrapText="1"/>
    </xf>
    <xf numFmtId="0" fontId="0" fillId="9" borderId="27" xfId="0" applyFill="1" applyBorder="1" applyAlignment="1">
      <alignment wrapText="1"/>
    </xf>
    <xf numFmtId="0" fontId="12" fillId="8" borderId="5" xfId="0" applyFont="1" applyFill="1" applyBorder="1" applyAlignment="1">
      <alignment horizontal="left" vertical="center" wrapText="1"/>
    </xf>
    <xf numFmtId="0" fontId="13" fillId="8" borderId="5" xfId="0" applyFont="1" applyFill="1" applyBorder="1" applyAlignment="1">
      <alignment horizontal="center" vertical="center" wrapText="1"/>
    </xf>
    <xf numFmtId="0" fontId="12" fillId="8" borderId="5" xfId="0" applyFont="1" applyFill="1" applyBorder="1" applyAlignment="1">
      <alignment horizontal="left" vertical="top" wrapText="1"/>
    </xf>
    <xf numFmtId="0" fontId="0" fillId="0" borderId="28" xfId="0" applyBorder="1" applyAlignment="1">
      <alignment wrapText="1"/>
    </xf>
    <xf numFmtId="0" fontId="0" fillId="0" borderId="29" xfId="0" applyBorder="1" applyAlignment="1">
      <alignment wrapText="1"/>
    </xf>
    <xf numFmtId="0" fontId="0" fillId="0" borderId="30" xfId="0" applyBorder="1" applyAlignment="1">
      <alignment wrapText="1"/>
    </xf>
    <xf numFmtId="0" fontId="0" fillId="0" borderId="16" xfId="0" applyBorder="1" applyAlignment="1">
      <alignment wrapText="1"/>
    </xf>
    <xf numFmtId="0" fontId="0" fillId="0" borderId="31" xfId="0" applyBorder="1" applyAlignment="1">
      <alignment wrapText="1"/>
    </xf>
    <xf numFmtId="0" fontId="12" fillId="0" borderId="0" xfId="0" applyFont="1"/>
    <xf numFmtId="0" fontId="11" fillId="0" borderId="5" xfId="0" applyFont="1" applyBorder="1" applyAlignment="1" applyProtection="1">
      <alignment horizontal="center"/>
      <protection locked="0"/>
    </xf>
    <xf numFmtId="0" fontId="12" fillId="8" borderId="2" xfId="0" applyFont="1" applyFill="1" applyBorder="1" applyAlignment="1">
      <alignment horizontal="left" vertical="top"/>
    </xf>
    <xf numFmtId="0" fontId="12" fillId="8" borderId="3" xfId="0" applyFont="1" applyFill="1" applyBorder="1" applyAlignment="1">
      <alignment horizontal="left" vertical="top"/>
    </xf>
    <xf numFmtId="3" fontId="2" fillId="4" borderId="37" xfId="0" applyNumberFormat="1" applyFont="1" applyFill="1" applyBorder="1" applyAlignment="1" applyProtection="1">
      <alignment horizontal="left"/>
      <protection locked="0"/>
    </xf>
    <xf numFmtId="3" fontId="2" fillId="4" borderId="38" xfId="0" applyNumberFormat="1" applyFont="1" applyFill="1" applyBorder="1" applyAlignment="1" applyProtection="1">
      <alignment horizontal="left"/>
      <protection locked="0"/>
    </xf>
    <xf numFmtId="3" fontId="2" fillId="6" borderId="39" xfId="0" applyNumberFormat="1" applyFont="1" applyFill="1" applyBorder="1" applyAlignment="1" applyProtection="1">
      <alignment horizontal="left"/>
      <protection locked="0"/>
    </xf>
    <xf numFmtId="3" fontId="2" fillId="6" borderId="40" xfId="0" applyNumberFormat="1" applyFont="1" applyFill="1" applyBorder="1" applyAlignment="1" applyProtection="1">
      <alignment horizontal="left"/>
      <protection locked="0"/>
    </xf>
    <xf numFmtId="0" fontId="0" fillId="9" borderId="34" xfId="0" applyFill="1" applyBorder="1" applyAlignment="1" applyProtection="1">
      <alignment vertical="top" wrapText="1"/>
      <protection locked="0"/>
    </xf>
    <xf numFmtId="0" fontId="0" fillId="9" borderId="35" xfId="0" applyFill="1" applyBorder="1" applyAlignment="1">
      <alignment vertical="top" wrapText="1"/>
    </xf>
    <xf numFmtId="0" fontId="0" fillId="9" borderId="36" xfId="0" applyFill="1" applyBorder="1" applyAlignment="1">
      <alignment vertical="top" wrapText="1"/>
    </xf>
    <xf numFmtId="0" fontId="0" fillId="9" borderId="0" xfId="0" applyFill="1" applyAlignment="1">
      <alignment horizontal="left" vertical="top" wrapText="1"/>
    </xf>
    <xf numFmtId="0" fontId="0" fillId="0" borderId="20" xfId="0" applyBorder="1" applyAlignment="1">
      <alignment horizontal="center" wrapText="1"/>
    </xf>
    <xf numFmtId="0" fontId="0" fillId="0" borderId="21" xfId="0" applyBorder="1" applyAlignment="1">
      <alignment horizontal="center" wrapText="1"/>
    </xf>
    <xf numFmtId="0" fontId="0" fillId="0" borderId="22" xfId="0" applyBorder="1" applyAlignment="1">
      <alignment horizontal="center" wrapText="1"/>
    </xf>
    <xf numFmtId="0" fontId="19" fillId="0" borderId="25" xfId="0" applyFont="1" applyBorder="1" applyAlignment="1">
      <alignment horizontal="left" wrapText="1"/>
    </xf>
    <xf numFmtId="0" fontId="11" fillId="0" borderId="1" xfId="0" applyFont="1" applyBorder="1" applyAlignment="1">
      <alignment horizontal="left" wrapText="1"/>
    </xf>
    <xf numFmtId="0" fontId="0" fillId="0" borderId="23" xfId="0" applyBorder="1" applyAlignment="1">
      <alignment horizontal="center" wrapText="1"/>
    </xf>
    <xf numFmtId="0" fontId="0" fillId="0" borderId="0" xfId="0" applyAlignment="1">
      <alignment horizontal="center" wrapText="1"/>
    </xf>
    <xf numFmtId="0" fontId="0" fillId="0" borderId="24" xfId="0" applyBorder="1" applyAlignment="1">
      <alignment horizontal="center" wrapText="1"/>
    </xf>
    <xf numFmtId="3" fontId="2" fillId="0" borderId="2" xfId="0" applyNumberFormat="1" applyFont="1" applyBorder="1" applyAlignment="1">
      <alignment horizontal="left"/>
    </xf>
    <xf numFmtId="3" fontId="2" fillId="0" borderId="3" xfId="0" applyNumberFormat="1" applyFont="1" applyBorder="1" applyAlignment="1">
      <alignment horizontal="left"/>
    </xf>
    <xf numFmtId="3" fontId="2" fillId="0" borderId="4" xfId="0" applyNumberFormat="1" applyFont="1" applyBorder="1" applyAlignment="1">
      <alignment horizontal="left"/>
    </xf>
    <xf numFmtId="0" fontId="6" fillId="7" borderId="8" xfId="0" quotePrefix="1" applyFont="1" applyFill="1" applyBorder="1" applyAlignment="1">
      <alignment horizontal="left"/>
    </xf>
    <xf numFmtId="0" fontId="6" fillId="7" borderId="9" xfId="0" quotePrefix="1" applyFont="1" applyFill="1" applyBorder="1" applyAlignment="1">
      <alignment horizontal="left"/>
    </xf>
    <xf numFmtId="0" fontId="6" fillId="7" borderId="15" xfId="0" quotePrefix="1" applyFont="1" applyFill="1" applyBorder="1" applyAlignment="1">
      <alignment horizontal="left"/>
    </xf>
  </cellXfs>
  <cellStyles count="3">
    <cellStyle name="Comma" xfId="1" builtinId="3"/>
    <cellStyle name="Normal" xfId="0" builtinId="0"/>
    <cellStyle name="Percent" xfId="2" builtinId="5"/>
  </cellStyles>
  <dxfs count="0"/>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57</xdr:row>
      <xdr:rowOff>7606</xdr:rowOff>
    </xdr:from>
    <xdr:to>
      <xdr:col>2</xdr:col>
      <xdr:colOff>701040</xdr:colOff>
      <xdr:row>76</xdr:row>
      <xdr:rowOff>69218</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447006"/>
          <a:ext cx="5486400" cy="353633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03540\AppData\Local\Microsoft\Windows\INetCache\Content.Outlook\XKBO3KE2\20-104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Administrative\Tax%20information\2019%20Tax%20Information%20&amp;%20Standard%20Workpapers\Workpapers%20-%202014\State%20Tax%20Refund,%20SALT%20&amp;%20Tax%20Payment%20W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Table of Contents"/>
      <sheetName val="Instructions"/>
      <sheetName val="W-2s"/>
      <sheetName val="1099-INT"/>
      <sheetName val="1099-DIV"/>
      <sheetName val="1099-G"/>
      <sheetName val="1099-MISC"/>
      <sheetName val="1099-R"/>
      <sheetName val="SSA-1099"/>
      <sheetName val="1040"/>
      <sheetName val="Sch. 1"/>
      <sheetName val="Sch. 1 Line 8 WS"/>
      <sheetName val="Sch. 2"/>
      <sheetName val="Sch. 3"/>
      <sheetName val="Earned Inc WS"/>
      <sheetName val="Lines 5ab (Simplified Meth WS)"/>
      <sheetName val="Line 6ab (SS Bene)"/>
      <sheetName val="Line 12 (SD Depnts)"/>
      <sheetName val="Sch 1, Line 1 (SALT)"/>
      <sheetName val="Line 16 (QDCG Tax)"/>
      <sheetName val="Line 19 (CTC)"/>
      <sheetName val="Line 27 (EIC)"/>
      <sheetName val="Line 30 (Rebate Credit)"/>
      <sheetName val="Sch. 1, Line 19 (IRA)"/>
      <sheetName val="Sch. 1, Line 20 (Stu Loan)"/>
      <sheetName val="Sch. A"/>
      <sheetName val="Sch. B"/>
      <sheetName val="Sch. C"/>
      <sheetName val="Sch. D"/>
      <sheetName val="Sch. D WS"/>
      <sheetName val="Sch. E"/>
      <sheetName val="Sch. F"/>
      <sheetName val="Sch. R"/>
      <sheetName val="Sch. SE"/>
      <sheetName val="1116"/>
      <sheetName val="2210"/>
      <sheetName val="2441"/>
      <sheetName val="2555"/>
      <sheetName val="4562"/>
      <sheetName val="6251"/>
      <sheetName val="8283"/>
      <sheetName val="8606"/>
      <sheetName val="8812"/>
      <sheetName val="8863"/>
      <sheetName val="8889"/>
      <sheetName val="8949A"/>
      <sheetName val="8949B"/>
      <sheetName val="8949C"/>
      <sheetName val="8949D"/>
      <sheetName val="8959"/>
      <sheetName val="8960"/>
      <sheetName val="8962"/>
      <sheetName val="8995"/>
      <sheetName val="EIC Table"/>
      <sheetName val="Tax Table"/>
      <sheetName val="Chan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P2" t="b">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te Tax Refunds"/>
      <sheetName val="Federal &amp; State Tax Pmts"/>
    </sheetNames>
    <sheetDataSet>
      <sheetData sheetId="0"/>
      <sheetData sheetId="1">
        <row r="9">
          <cell r="E9" t="str">
            <v>IL</v>
          </cell>
          <cell r="F9" t="str">
            <v>State 2</v>
          </cell>
          <cell r="G9" t="str">
            <v>State 3</v>
          </cell>
          <cell r="H9">
            <v>0</v>
          </cell>
        </row>
        <row r="10">
          <cell r="E10">
            <v>0</v>
          </cell>
          <cell r="F10">
            <v>0</v>
          </cell>
          <cell r="G10">
            <v>0</v>
          </cell>
          <cell r="H10">
            <v>0</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1"/>
  <sheetViews>
    <sheetView workbookViewId="0"/>
  </sheetViews>
  <sheetFormatPr defaultRowHeight="14.4" x14ac:dyDescent="0.3"/>
  <sheetData>
    <row r="1" spans="1:4" x14ac:dyDescent="0.3">
      <c r="A1" t="s">
        <v>0</v>
      </c>
      <c r="B1" t="s">
        <v>1</v>
      </c>
      <c r="C1" t="s">
        <v>2</v>
      </c>
      <c r="D1" t="s">
        <v>3</v>
      </c>
    </row>
    <row r="2" spans="1:4" x14ac:dyDescent="0.3">
      <c r="A2" t="s">
        <v>2</v>
      </c>
      <c r="B2" t="s">
        <v>4</v>
      </c>
      <c r="C2" t="s">
        <v>3</v>
      </c>
      <c r="D2" t="s">
        <v>5</v>
      </c>
    </row>
    <row r="3" spans="1:4" x14ac:dyDescent="0.3">
      <c r="A3" t="s">
        <v>6</v>
      </c>
      <c r="B3" t="s">
        <v>7</v>
      </c>
      <c r="C3" t="s">
        <v>0</v>
      </c>
    </row>
    <row r="4" spans="1:4" x14ac:dyDescent="0.3">
      <c r="B4" t="s">
        <v>8</v>
      </c>
    </row>
    <row r="5" spans="1:4" x14ac:dyDescent="0.3">
      <c r="B5" t="s">
        <v>9</v>
      </c>
    </row>
    <row r="6" spans="1:4" x14ac:dyDescent="0.3">
      <c r="B6" t="s">
        <v>10</v>
      </c>
    </row>
    <row r="7" spans="1:4" x14ac:dyDescent="0.3">
      <c r="B7" t="s">
        <v>11</v>
      </c>
    </row>
    <row r="8" spans="1:4" x14ac:dyDescent="0.3">
      <c r="B8" t="s">
        <v>12</v>
      </c>
    </row>
    <row r="9" spans="1:4" x14ac:dyDescent="0.3">
      <c r="B9" t="s">
        <v>13</v>
      </c>
    </row>
    <row r="10" spans="1:4" x14ac:dyDescent="0.3">
      <c r="B10" t="s">
        <v>14</v>
      </c>
    </row>
    <row r="11" spans="1:4" x14ac:dyDescent="0.3">
      <c r="B11" t="s">
        <v>15</v>
      </c>
    </row>
    <row r="12" spans="1:4" x14ac:dyDescent="0.3">
      <c r="B12" t="s">
        <v>16</v>
      </c>
    </row>
    <row r="13" spans="1:4" x14ac:dyDescent="0.3">
      <c r="B13" t="s">
        <v>17</v>
      </c>
    </row>
    <row r="14" spans="1:4" x14ac:dyDescent="0.3">
      <c r="B14" t="s">
        <v>18</v>
      </c>
    </row>
    <row r="15" spans="1:4" x14ac:dyDescent="0.3">
      <c r="B15" t="s">
        <v>19</v>
      </c>
    </row>
    <row r="16" spans="1:4" x14ac:dyDescent="0.3">
      <c r="B16" t="s">
        <v>20</v>
      </c>
    </row>
    <row r="17" spans="2:2" x14ac:dyDescent="0.3">
      <c r="B17" t="s">
        <v>21</v>
      </c>
    </row>
    <row r="18" spans="2:2" x14ac:dyDescent="0.3">
      <c r="B18" t="s">
        <v>22</v>
      </c>
    </row>
    <row r="19" spans="2:2" x14ac:dyDescent="0.3">
      <c r="B19" t="s">
        <v>23</v>
      </c>
    </row>
    <row r="20" spans="2:2" x14ac:dyDescent="0.3">
      <c r="B20" t="s">
        <v>24</v>
      </c>
    </row>
    <row r="21" spans="2:2" x14ac:dyDescent="0.3">
      <c r="B21" t="s">
        <v>25</v>
      </c>
    </row>
    <row r="22" spans="2:2" x14ac:dyDescent="0.3">
      <c r="B22" t="s">
        <v>26</v>
      </c>
    </row>
    <row r="23" spans="2:2" x14ac:dyDescent="0.3">
      <c r="B23" t="s">
        <v>27</v>
      </c>
    </row>
    <row r="24" spans="2:2" x14ac:dyDescent="0.3">
      <c r="B24" t="s">
        <v>28</v>
      </c>
    </row>
    <row r="25" spans="2:2" x14ac:dyDescent="0.3">
      <c r="B25" t="s">
        <v>29</v>
      </c>
    </row>
    <row r="26" spans="2:2" x14ac:dyDescent="0.3">
      <c r="B26" t="s">
        <v>30</v>
      </c>
    </row>
    <row r="27" spans="2:2" x14ac:dyDescent="0.3">
      <c r="B27" t="s">
        <v>31</v>
      </c>
    </row>
    <row r="28" spans="2:2" x14ac:dyDescent="0.3">
      <c r="B28" t="s">
        <v>32</v>
      </c>
    </row>
    <row r="29" spans="2:2" x14ac:dyDescent="0.3">
      <c r="B29" t="s">
        <v>33</v>
      </c>
    </row>
    <row r="30" spans="2:2" x14ac:dyDescent="0.3">
      <c r="B30" t="s">
        <v>34</v>
      </c>
    </row>
    <row r="31" spans="2:2" x14ac:dyDescent="0.3">
      <c r="B31" t="s">
        <v>35</v>
      </c>
    </row>
    <row r="32" spans="2:2" x14ac:dyDescent="0.3">
      <c r="B32" t="s">
        <v>36</v>
      </c>
    </row>
    <row r="33" spans="2:2" x14ac:dyDescent="0.3">
      <c r="B33" t="s">
        <v>37</v>
      </c>
    </row>
    <row r="34" spans="2:2" x14ac:dyDescent="0.3">
      <c r="B34" t="s">
        <v>38</v>
      </c>
    </row>
    <row r="35" spans="2:2" x14ac:dyDescent="0.3">
      <c r="B35" t="s">
        <v>39</v>
      </c>
    </row>
    <row r="36" spans="2:2" x14ac:dyDescent="0.3">
      <c r="B36" t="s">
        <v>40</v>
      </c>
    </row>
    <row r="37" spans="2:2" x14ac:dyDescent="0.3">
      <c r="B37" t="s">
        <v>41</v>
      </c>
    </row>
    <row r="38" spans="2:2" x14ac:dyDescent="0.3">
      <c r="B38" t="s">
        <v>42</v>
      </c>
    </row>
    <row r="39" spans="2:2" x14ac:dyDescent="0.3">
      <c r="B39" t="s">
        <v>43</v>
      </c>
    </row>
    <row r="40" spans="2:2" x14ac:dyDescent="0.3">
      <c r="B40" t="s">
        <v>44</v>
      </c>
    </row>
    <row r="41" spans="2:2" x14ac:dyDescent="0.3">
      <c r="B41" t="s">
        <v>45</v>
      </c>
    </row>
    <row r="42" spans="2:2" x14ac:dyDescent="0.3">
      <c r="B42" t="s">
        <v>46</v>
      </c>
    </row>
    <row r="43" spans="2:2" x14ac:dyDescent="0.3">
      <c r="B43" t="s">
        <v>47</v>
      </c>
    </row>
    <row r="44" spans="2:2" x14ac:dyDescent="0.3">
      <c r="B44" t="s">
        <v>48</v>
      </c>
    </row>
    <row r="45" spans="2:2" x14ac:dyDescent="0.3">
      <c r="B45" t="s">
        <v>49</v>
      </c>
    </row>
    <row r="46" spans="2:2" x14ac:dyDescent="0.3">
      <c r="B46" t="s">
        <v>50</v>
      </c>
    </row>
    <row r="47" spans="2:2" x14ac:dyDescent="0.3">
      <c r="B47" t="s">
        <v>51</v>
      </c>
    </row>
    <row r="48" spans="2:2" x14ac:dyDescent="0.3">
      <c r="B48" t="s">
        <v>52</v>
      </c>
    </row>
    <row r="49" spans="2:2" x14ac:dyDescent="0.3">
      <c r="B49" t="s">
        <v>53</v>
      </c>
    </row>
    <row r="50" spans="2:2" x14ac:dyDescent="0.3">
      <c r="B50" t="s">
        <v>54</v>
      </c>
    </row>
    <row r="51" spans="2:2" x14ac:dyDescent="0.3">
      <c r="B51"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FF00"/>
  </sheetPr>
  <dimension ref="A1:I52"/>
  <sheetViews>
    <sheetView workbookViewId="0">
      <selection activeCell="I16" sqref="I16"/>
    </sheetView>
  </sheetViews>
  <sheetFormatPr defaultRowHeight="14.4" x14ac:dyDescent="0.3"/>
  <cols>
    <col min="1" max="1" width="8.88671875" style="4"/>
    <col min="2" max="2" width="3.6640625" customWidth="1"/>
    <col min="3" max="3" width="4.44140625" customWidth="1"/>
    <col min="4" max="4" width="28.44140625" customWidth="1"/>
    <col min="5" max="7" width="13.6640625" customWidth="1"/>
    <col min="9" max="9" width="26.88671875" bestFit="1" customWidth="1"/>
  </cols>
  <sheetData>
    <row r="1" spans="1:9" ht="15" thickBot="1" x14ac:dyDescent="0.35">
      <c r="D1" s="233" t="s">
        <v>56</v>
      </c>
      <c r="E1" s="234"/>
      <c r="F1" s="235"/>
    </row>
    <row r="2" spans="1:9" ht="15" thickBot="1" x14ac:dyDescent="0.35">
      <c r="D2" s="236" t="s">
        <v>57</v>
      </c>
      <c r="E2" s="237"/>
      <c r="F2" s="238"/>
    </row>
    <row r="3" spans="1:9" x14ac:dyDescent="0.3">
      <c r="D3" s="156"/>
      <c r="E3" s="156"/>
      <c r="F3" s="156"/>
    </row>
    <row r="4" spans="1:9" x14ac:dyDescent="0.3">
      <c r="D4" s="156" t="s">
        <v>58</v>
      </c>
      <c r="E4" s="239" t="s">
        <v>59</v>
      </c>
      <c r="F4" s="240"/>
    </row>
    <row r="5" spans="1:9" ht="13.95" customHeight="1" x14ac:dyDescent="0.3">
      <c r="D5" t="s">
        <v>60</v>
      </c>
    </row>
    <row r="6" spans="1:9" ht="13.95" customHeight="1" x14ac:dyDescent="0.3"/>
    <row r="7" spans="1:9" x14ac:dyDescent="0.3">
      <c r="A7" s="4" t="s">
        <v>61</v>
      </c>
      <c r="B7" t="s">
        <v>62</v>
      </c>
      <c r="E7" s="4" t="s">
        <v>0</v>
      </c>
      <c r="F7" s="4" t="s">
        <v>2</v>
      </c>
      <c r="G7" s="4" t="s">
        <v>63</v>
      </c>
      <c r="I7" s="215" t="s">
        <v>64</v>
      </c>
    </row>
    <row r="8" spans="1:9" x14ac:dyDescent="0.3">
      <c r="A8" s="4" t="s">
        <v>65</v>
      </c>
      <c r="B8" t="s">
        <v>66</v>
      </c>
      <c r="E8" s="153">
        <f>SUMIF('W-2 Summary'!B7:K7,"T",'W-2 Summary'!B15:K15)</f>
        <v>0</v>
      </c>
      <c r="F8" s="153">
        <f>SUMIF('W-2 Summary'!B7:K7,"S",'W-2 Summary'!B15:K15)</f>
        <v>0</v>
      </c>
      <c r="G8" s="153">
        <f>E8+F8</f>
        <v>0</v>
      </c>
      <c r="I8" s="216"/>
    </row>
    <row r="9" spans="1:9" x14ac:dyDescent="0.3">
      <c r="A9" s="4" t="s">
        <v>67</v>
      </c>
      <c r="B9" t="s">
        <v>68</v>
      </c>
      <c r="E9" s="153">
        <f>SUMIF('Brokerage Summary (Sch B, D)'!C7:N7,"T",'Brokerage Summary (Sch B, D)'!C13:N13)+SUMIF('Brokerage Summary (Sch B, D)'!C7:N7,"T",'Brokerage Summary (Sch B, D)'!C14:N14)+SUMIF('Brokerage Summary (Sch B, D)'!C7:N7,"T",'Brokerage Summary (Sch B, D)'!C15:N15)+SUMIF('Brokerage Summary (Sch B, D)'!C7:N7,"T",'Brokerage Summary (Sch B, D)'!C16:N16)+SUMIF('Brokerage Summary (Sch B, D)'!C7:N7,"T",'Brokerage Summary (Sch B, D)'!C17:N17)+SUMIF('Brokerage Summary (Sch B, D)'!C7:N7,"T",'Brokerage Summary (Sch B, D)'!C19:N19)+SUMIF('Brokerage Summary (Sch B, D)'!C7:N7,"T",'Brokerage Summary (Sch B, D)'!C20:N20)+SUMIF('Brokerage Summary (Sch B, D)'!C7:N7,"T",'Brokerage Summary (Sch B, D)'!C21:N21)+SUMIF('Brokerage Summary (Sch B, D)'!C7:N7,"T",'Brokerage Summary (Sch B, D)'!C22:N22)+SUMIF('Brokerage Summary (Sch B, D)'!C7:N7,"T",'Brokerage Summary (Sch B, D)'!C23:N23)+SUMIF('Schedule E -K-1 Summary'!D12:M12,"T",'Schedule E -K-1 Summary'!D21:M21)+0.5*SUMIF('Brokerage Summary (Sch B, D)'!C7:N7,"J",'Brokerage Summary (Sch B, D)'!C13:N13)+0.5*SUMIF('Brokerage Summary (Sch B, D)'!C7:N7,"J",'Brokerage Summary (Sch B, D)'!C14:N14)+0.5*SUMIF('Brokerage Summary (Sch B, D)'!C7:N7,"J",'Brokerage Summary (Sch B, D)'!C15:N15)+0.5*SUMIF('Brokerage Summary (Sch B, D)'!C7:N7,"J",'Brokerage Summary (Sch B, D)'!C16:N16)+0.5*SUMIF('Brokerage Summary (Sch B, D)'!C7:N7,"J",'Brokerage Summary (Sch B, D)'!C17:N17)+0.5*SUMIF('Brokerage Summary (Sch B, D)'!C7:N7,"J",'Brokerage Summary (Sch B, D)'!C19:N19)+0.5*SUMIF('Brokerage Summary (Sch B, D)'!C7:N7,"J",'Brokerage Summary (Sch B, D)'!C20:N20)+0.5*SUMIF('Brokerage Summary (Sch B, D)'!C7:N7,"J",'Brokerage Summary (Sch B, D)'!C21:N21)+0.5*SUMIF('Brokerage Summary (Sch B, D)'!C7:N7,"J",'Brokerage Summary (Sch B, D)'!C22:N22)+0.5*SUMIF('Brokerage Summary (Sch B, D)'!C7:N7,"J",'Brokerage Summary (Sch B, D)'!C23:N23)+0.5*SUMIF('Schedule E -K-1 Summary'!E12:N12,"J",'Schedule E -K-1 Summary'!E21:N21)</f>
        <v>0</v>
      </c>
      <c r="F9" s="153">
        <f>SUMIF('Brokerage Summary (Sch B, D)'!C7:N7,"S",'Brokerage Summary (Sch B, D)'!C13:N13)+SUMIF('Brokerage Summary (Sch B, D)'!C7:N7,"S",'Brokerage Summary (Sch B, D)'!C14:N14)+SUMIF('Brokerage Summary (Sch B, D)'!C7:N7,"S",'Brokerage Summary (Sch B, D)'!C15:N15)+SUMIF('Brokerage Summary (Sch B, D)'!C7:N7,"S",'Brokerage Summary (Sch B, D)'!C16:N16)+SUMIF('Brokerage Summary (Sch B, D)'!C7:N7,"S",'Brokerage Summary (Sch B, D)'!C17:N17)+SUMIF('Brokerage Summary (Sch B, D)'!C7:N7,"S",'Brokerage Summary (Sch B, D)'!C19:N19)+SUMIF('Brokerage Summary (Sch B, D)'!C7:N7,"S",'Brokerage Summary (Sch B, D)'!C20:N20)+SUMIF('Brokerage Summary (Sch B, D)'!C7:N7,"S",'Brokerage Summary (Sch B, D)'!C21:N21)+SUMIF('Brokerage Summary (Sch B, D)'!C7:N7,"S",'Brokerage Summary (Sch B, D)'!C22:N22)+SUMIF('Brokerage Summary (Sch B, D)'!C7:N7,"S",'Brokerage Summary (Sch B, D)'!C23:N23)+SUMIF('Schedule E -K-1 Summary'!D12:M12,"S",'Schedule E -K-1 Summary'!D21:M21)+0.5*SUMIF('Brokerage Summary (Sch B, D)'!C7:N7,"J",'Brokerage Summary (Sch B, D)'!C13:N13)+0.5*SUMIF('Brokerage Summary (Sch B, D)'!C7:N7,"J",'Brokerage Summary (Sch B, D)'!C14:N14)+0.5*SUMIF('Brokerage Summary (Sch B, D)'!C7:N7,"J",'Brokerage Summary (Sch B, D)'!C15:N15)+0.5*SUMIF('Brokerage Summary (Sch B, D)'!C7:N7,"J",'Brokerage Summary (Sch B, D)'!C16:N16)+0.5*SUMIF('Brokerage Summary (Sch B, D)'!C7:N7,"J",'Brokerage Summary (Sch B, D)'!C17:N17)+0.5*SUMIF('Brokerage Summary (Sch B, D)'!C7:N7,"J",'Brokerage Summary (Sch B, D)'!C19:N19)+0.5*SUMIF('Brokerage Summary (Sch B, D)'!C7:N7,"J",'Brokerage Summary (Sch B, D)'!C20:N20)+0.5*SUMIF('Brokerage Summary (Sch B, D)'!C7:N7,"J",'Brokerage Summary (Sch B, D)'!C21:N21)+0.5*SUMIF('Brokerage Summary (Sch B, D)'!C7:N7,"J",'Brokerage Summary (Sch B, D)'!C22:N22)+0.5*SUMIF('Brokerage Summary (Sch B, D)'!C7:N7,"J",'Brokerage Summary (Sch B, D)'!C23:N23)+0.5*SUMIF('Schedule E -K-1 Summary'!E12:N12,"J",'Schedule E -K-1 Summary'!E21:N21)</f>
        <v>0</v>
      </c>
      <c r="G9" s="153">
        <f t="shared" ref="G9:G42" si="0">E9+F9</f>
        <v>0</v>
      </c>
      <c r="I9" s="216"/>
    </row>
    <row r="10" spans="1:9" x14ac:dyDescent="0.3">
      <c r="A10" s="4" t="s">
        <v>69</v>
      </c>
      <c r="B10" t="s">
        <v>70</v>
      </c>
      <c r="E10" s="153">
        <f>SUMIF('Brokerage Summary (Sch B, D)'!D7:O7,"T",'Brokerage Summary (Sch B, D)'!D35:O35)+SUMIF('Schedule E -K-1 Summary'!E12:N12,"T",'Schedule E -K-1 Summary'!E22:N22)+0.5*SUMIF('Brokerage Summary (Sch B, D)'!D7:O7,"J",'Brokerage Summary (Sch B, D)'!D35:O35)+0.5*SUMIF('Schedule E -K-1 Summary'!E12:N12,"J",'Schedule E -K-1 Summary'!E22:N22)</f>
        <v>0</v>
      </c>
      <c r="F10" s="153">
        <f>SUMIF('Brokerage Summary (Sch B, D)'!D7:O7,"S",'Brokerage Summary (Sch B, D)'!D35:O35)+SUMIF('Schedule E -K-1 Summary'!E12:N12,"S",'Schedule E -K-1 Summary'!E22:N22)+0.5*SUMIF('Brokerage Summary (Sch B, D)'!D7:O7,"J",'Brokerage Summary (Sch B, D)'!D35:O35)+0.5*SUMIF('Schedule E -K-1 Summary'!E12:N12,"J",'Schedule E -K-1 Summary'!E22:N22)</f>
        <v>0</v>
      </c>
      <c r="G10" s="153">
        <f t="shared" si="0"/>
        <v>0</v>
      </c>
      <c r="I10" s="216"/>
    </row>
    <row r="11" spans="1:9" x14ac:dyDescent="0.3">
      <c r="A11" s="4" t="s">
        <v>71</v>
      </c>
      <c r="B11" t="s">
        <v>72</v>
      </c>
      <c r="E11" s="153">
        <f>SUMIF('1099-R Summary'!B6:L6,"T",'1099-R Summary'!B14:L14)</f>
        <v>0</v>
      </c>
      <c r="F11" s="153">
        <f>SUMIF('1099-R Summary'!B6:L6,"S",'1099-R Summary'!B14:L14)</f>
        <v>0</v>
      </c>
      <c r="G11" s="153">
        <f t="shared" si="0"/>
        <v>0</v>
      </c>
      <c r="I11" s="216"/>
    </row>
    <row r="12" spans="1:9" x14ac:dyDescent="0.3">
      <c r="A12" s="4" t="s">
        <v>73</v>
      </c>
      <c r="B12" t="s">
        <v>74</v>
      </c>
      <c r="E12" s="153">
        <f>SUMIF('1099-R Summary'!B6:L6,"T",'1099-R Summary'!B16:L16)</f>
        <v>0</v>
      </c>
      <c r="F12" s="153">
        <f>SUMIF('1099-R Summary'!B6:L6,"S",'1099-R Summary'!B16:L16)</f>
        <v>0</v>
      </c>
      <c r="G12" s="153">
        <f t="shared" si="0"/>
        <v>0</v>
      </c>
      <c r="I12" s="216"/>
    </row>
    <row r="13" spans="1:9" x14ac:dyDescent="0.3">
      <c r="A13" s="4" t="s">
        <v>75</v>
      </c>
      <c r="B13" t="s">
        <v>76</v>
      </c>
      <c r="E13" s="153">
        <f>'Social Security'!B17</f>
        <v>0</v>
      </c>
      <c r="F13" s="153">
        <f>'Social Security'!C17</f>
        <v>0</v>
      </c>
      <c r="G13" s="153">
        <f t="shared" si="0"/>
        <v>0</v>
      </c>
      <c r="I13" s="216"/>
    </row>
    <row r="14" spans="1:9" x14ac:dyDescent="0.3">
      <c r="A14" s="4">
        <v>7</v>
      </c>
      <c r="B14" t="s">
        <v>77</v>
      </c>
      <c r="E14" s="153">
        <f>'Brokerage Summary (Sch B, D)'!F155</f>
        <v>0</v>
      </c>
      <c r="F14" s="153">
        <f>'Brokerage Summary (Sch B, D)'!G155</f>
        <v>0</v>
      </c>
      <c r="G14" s="153">
        <f>IF('Brokerage Summary (Sch B, D)'!D155&lt;-3000,-3000,'Brokerage Summary (Sch B, D)'!D155)</f>
        <v>0</v>
      </c>
      <c r="I14" s="216"/>
    </row>
    <row r="15" spans="1:9" x14ac:dyDescent="0.3">
      <c r="B15" t="s">
        <v>78</v>
      </c>
      <c r="E15" s="116"/>
      <c r="F15" s="116"/>
      <c r="G15" s="116"/>
    </row>
    <row r="16" spans="1:9" x14ac:dyDescent="0.3">
      <c r="C16" t="s">
        <v>79</v>
      </c>
      <c r="E16" s="153">
        <f>SUMIF('Schedule C - 1'!A4,"T",'Schedule C - 1'!Q58)+SUMIF('Schedule C - 2'!A4,"T",'Schedule C - 2'!Q58)+SUMIF('Schedule C - 3'!A4,"T",'Schedule C - 3'!Q58)</f>
        <v>0</v>
      </c>
      <c r="F16" s="153">
        <f>SUMIF('Schedule C - 1'!A4,"S",'Schedule C - 1'!Q58)+SUMIF('Schedule C - 2'!A4,"S",'Schedule C - 2'!Q58)+SUMIF('Schedule C - 3'!A4,"S",'Schedule C - 3'!Q58)</f>
        <v>0</v>
      </c>
      <c r="G16" s="153">
        <f t="shared" si="0"/>
        <v>0</v>
      </c>
    </row>
    <row r="17" spans="1:9" x14ac:dyDescent="0.3">
      <c r="C17" t="s">
        <v>80</v>
      </c>
      <c r="E17" s="153">
        <f>'Form 4797'!D47</f>
        <v>0</v>
      </c>
      <c r="F17" s="153">
        <f>'Form 4797'!E47</f>
        <v>0</v>
      </c>
      <c r="G17" s="153">
        <f t="shared" si="0"/>
        <v>0</v>
      </c>
    </row>
    <row r="18" spans="1:9" x14ac:dyDescent="0.3">
      <c r="C18" t="s">
        <v>81</v>
      </c>
      <c r="E18" s="153">
        <f>SUMIF('Schedule E - Rental 1'!A4,"T",'Schedule E - Rental 1'!Q44)+SUMIF('Schedule E - Rental 2'!A4,"T",'Schedule E - Rental 2'!Q44)+SUMIF('Schedule E - Rental 3'!A4,"T",'Schedule E - Rental 3'!Q44)+0.5*SUMIF('Schedule E - Rental 1'!A4,"J",'Schedule E - Rental 1'!Q44)+0.5*SUMIF('Schedule E - Rental 2'!A4,"J",'Schedule E - Rental 2'!Q44)+0.5*SUMIF('Schedule E - Rental 3'!A4,"J",'Schedule E - Rental 3'!Q44)</f>
        <v>0</v>
      </c>
      <c r="F18" s="153">
        <f>SUMIF('Schedule E - Rental 1'!A4,"S",'Schedule E - Rental 1'!Q44)+SUMIF('Schedule E - Rental 2'!A4,"S",'Schedule E - Rental 2'!Q44)+SUMIF('Schedule E - Rental 3'!A4,"S",'Schedule E - Rental 3'!Q44)+0.5*SUMIF('Schedule E - Rental 1'!A4,"J",'Schedule E - Rental 1'!Q44)+0.5*SUMIF('Schedule E - Rental 2'!A4,"J",'Schedule E - Rental 2'!Q44)+0.5*SUMIF('Schedule E - Rental 3'!A4,"J",'Schedule E - Rental 3'!Q44)</f>
        <v>0</v>
      </c>
      <c r="G18" s="153">
        <f t="shared" si="0"/>
        <v>0</v>
      </c>
    </row>
    <row r="19" spans="1:9" x14ac:dyDescent="0.3">
      <c r="C19" t="s">
        <v>82</v>
      </c>
      <c r="E19" s="153">
        <f>SUMIF('Schedule E -K-1 Summary'!E12:N12,"T",'Schedule E -K-1 Summary'!E74:N74)+0.5*SUMIF('Schedule E -K-1 Summary'!E12:N12,"J",'Schedule E -K-1 Summary'!E74:N74)</f>
        <v>0</v>
      </c>
      <c r="F19" s="153">
        <f>SUMIF('Schedule E -K-1 Summary'!E12:N12,"S",'Schedule E -K-1 Summary'!E74:N74)+0.5*SUMIF('Schedule E -K-1 Summary'!E12:N12,"J",'Schedule E -K-1 Summary'!E74:N74)</f>
        <v>0</v>
      </c>
      <c r="G19" s="153">
        <f t="shared" si="0"/>
        <v>0</v>
      </c>
    </row>
    <row r="20" spans="1:9" x14ac:dyDescent="0.3">
      <c r="C20" t="s">
        <v>83</v>
      </c>
      <c r="E20" s="153">
        <f>SUMIF('Schedule F 1'!A1,"T",'Schedule F 1'!Q60)+SUMIF('Schedule F 2'!A1,"T",'Schedule F 2'!Q60)+0.5*SUMIF('Schedule F 1'!A1,"J",'Schedule F 1'!Q60)+0.5*SUMIF('Schedule F 2'!A1,"J",'Schedule F 2'!Q60)</f>
        <v>0</v>
      </c>
      <c r="F20" s="153">
        <f>SUMIF('Schedule F 1'!A1,"S",'Schedule F 1'!Q60)+SUMIF('Schedule F 2'!A1,"S",'Schedule F 2'!Q60)+0.5*SUMIF('Schedule F 1'!A1,"J",'Schedule F 1'!Q60)+0.5*SUMIF('Schedule F 2'!A1,"J",'Schedule F 2'!Q60)</f>
        <v>0</v>
      </c>
      <c r="G20" s="153">
        <f t="shared" si="0"/>
        <v>0</v>
      </c>
    </row>
    <row r="21" spans="1:9" x14ac:dyDescent="0.3">
      <c r="C21" t="s">
        <v>84</v>
      </c>
      <c r="E21" s="116"/>
      <c r="F21" s="116"/>
      <c r="G21" s="153">
        <f t="shared" si="0"/>
        <v>0</v>
      </c>
    </row>
    <row r="22" spans="1:9" x14ac:dyDescent="0.3">
      <c r="D22" s="59"/>
      <c r="E22" s="99"/>
      <c r="F22" s="99"/>
      <c r="G22" s="153">
        <f t="shared" si="0"/>
        <v>0</v>
      </c>
    </row>
    <row r="23" spans="1:9" x14ac:dyDescent="0.3">
      <c r="D23" s="59"/>
      <c r="E23" s="99"/>
      <c r="F23" s="99"/>
      <c r="G23" s="153">
        <f t="shared" si="0"/>
        <v>0</v>
      </c>
    </row>
    <row r="24" spans="1:9" x14ac:dyDescent="0.3">
      <c r="D24" s="59"/>
      <c r="E24" s="99"/>
      <c r="F24" s="99"/>
      <c r="G24" s="153">
        <f t="shared" si="0"/>
        <v>0</v>
      </c>
    </row>
    <row r="25" spans="1:9" x14ac:dyDescent="0.3">
      <c r="D25" s="59"/>
      <c r="E25" s="99"/>
      <c r="F25" s="99"/>
      <c r="G25" s="153">
        <f t="shared" si="0"/>
        <v>0</v>
      </c>
    </row>
    <row r="26" spans="1:9" x14ac:dyDescent="0.3">
      <c r="D26" s="59"/>
      <c r="E26" s="99"/>
      <c r="F26" s="99"/>
      <c r="G26" s="153">
        <f t="shared" si="0"/>
        <v>0</v>
      </c>
    </row>
    <row r="27" spans="1:9" x14ac:dyDescent="0.3">
      <c r="A27" s="4">
        <v>8</v>
      </c>
      <c r="B27" t="s">
        <v>85</v>
      </c>
      <c r="D27" s="154"/>
      <c r="E27" s="155">
        <f>SUM(E16:E26)</f>
        <v>0</v>
      </c>
      <c r="F27" s="155">
        <f>SUM(F16:F26)</f>
        <v>0</v>
      </c>
      <c r="G27" s="155">
        <f>SUM(G16:G26)</f>
        <v>0</v>
      </c>
      <c r="I27" s="216"/>
    </row>
    <row r="28" spans="1:9" x14ac:dyDescent="0.3">
      <c r="B28" t="s">
        <v>86</v>
      </c>
      <c r="E28" s="116"/>
      <c r="F28" s="116"/>
      <c r="G28" s="116"/>
    </row>
    <row r="29" spans="1:9" x14ac:dyDescent="0.3">
      <c r="C29" t="s">
        <v>87</v>
      </c>
      <c r="E29" s="99"/>
      <c r="F29" s="99"/>
      <c r="G29" s="153">
        <f t="shared" si="0"/>
        <v>0</v>
      </c>
    </row>
    <row r="30" spans="1:9" x14ac:dyDescent="0.3">
      <c r="C30" t="s">
        <v>88</v>
      </c>
      <c r="E30" s="99"/>
      <c r="F30" s="99"/>
      <c r="G30" s="153">
        <f t="shared" si="0"/>
        <v>0</v>
      </c>
    </row>
    <row r="31" spans="1:9" x14ac:dyDescent="0.3">
      <c r="C31" t="s">
        <v>89</v>
      </c>
      <c r="E31" s="153">
        <f>-'Schedule SE'!B17</f>
        <v>0</v>
      </c>
      <c r="F31" s="153">
        <f>-'Schedule SE'!D17</f>
        <v>0</v>
      </c>
      <c r="G31" s="153">
        <f t="shared" si="0"/>
        <v>0</v>
      </c>
    </row>
    <row r="32" spans="1:9" x14ac:dyDescent="0.3">
      <c r="C32" t="s">
        <v>90</v>
      </c>
      <c r="E32" s="99"/>
      <c r="F32" s="99"/>
      <c r="G32" s="153">
        <f t="shared" si="0"/>
        <v>0</v>
      </c>
    </row>
    <row r="33" spans="1:9" x14ac:dyDescent="0.3">
      <c r="C33" t="s">
        <v>91</v>
      </c>
      <c r="E33" s="153">
        <f>SUMIF('Brokerage Summary (Sch B, D)'!D7:O7,"T",'Brokerage Summary (Sch B, D)'!D18:O18)+0.5*SUMIF('Brokerage Summary (Sch B, D)'!D7:O7,"J",'Brokerage Summary (Sch B, D)'!D18:O18)</f>
        <v>0</v>
      </c>
      <c r="F33" s="153">
        <f>SUMIF('Brokerage Summary (Sch B, D)'!D7:O7,"S",'Brokerage Summary (Sch B, D)'!D18:O18)+0.5*SUMIF('Brokerage Summary (Sch B, D)'!D7:O7,"J",'Brokerage Summary (Sch B, D)'!D18:O18)</f>
        <v>0</v>
      </c>
      <c r="G33" s="153">
        <f t="shared" si="0"/>
        <v>0</v>
      </c>
    </row>
    <row r="34" spans="1:9" x14ac:dyDescent="0.3">
      <c r="C34" t="s">
        <v>92</v>
      </c>
      <c r="E34" s="99"/>
      <c r="F34" s="99"/>
      <c r="G34" s="153">
        <f t="shared" si="0"/>
        <v>0</v>
      </c>
    </row>
    <row r="35" spans="1:9" x14ac:dyDescent="0.3">
      <c r="C35" t="s">
        <v>93</v>
      </c>
      <c r="E35" s="99"/>
      <c r="F35" s="99"/>
      <c r="G35" s="153">
        <f t="shared" si="0"/>
        <v>0</v>
      </c>
    </row>
    <row r="36" spans="1:9" x14ac:dyDescent="0.3">
      <c r="C36" t="s">
        <v>94</v>
      </c>
      <c r="E36" s="99"/>
      <c r="F36" s="99"/>
      <c r="G36" s="153">
        <f t="shared" si="0"/>
        <v>0</v>
      </c>
    </row>
    <row r="37" spans="1:9" x14ac:dyDescent="0.3">
      <c r="C37" t="s">
        <v>95</v>
      </c>
      <c r="E37" s="116"/>
      <c r="F37" s="116"/>
      <c r="G37" s="153">
        <f t="shared" si="0"/>
        <v>0</v>
      </c>
    </row>
    <row r="38" spans="1:9" x14ac:dyDescent="0.3">
      <c r="D38" s="59"/>
      <c r="E38" s="99"/>
      <c r="F38" s="99"/>
      <c r="G38" s="153">
        <f t="shared" si="0"/>
        <v>0</v>
      </c>
    </row>
    <row r="39" spans="1:9" x14ac:dyDescent="0.3">
      <c r="D39" s="59"/>
      <c r="E39" s="99"/>
      <c r="F39" s="99"/>
      <c r="G39" s="153">
        <f t="shared" si="0"/>
        <v>0</v>
      </c>
    </row>
    <row r="40" spans="1:9" x14ac:dyDescent="0.3">
      <c r="D40" s="59"/>
      <c r="E40" s="99"/>
      <c r="F40" s="99"/>
      <c r="G40" s="153">
        <f t="shared" si="0"/>
        <v>0</v>
      </c>
    </row>
    <row r="41" spans="1:9" x14ac:dyDescent="0.3">
      <c r="D41" s="59"/>
      <c r="E41" s="99"/>
      <c r="F41" s="99"/>
      <c r="G41" s="153">
        <f t="shared" si="0"/>
        <v>0</v>
      </c>
    </row>
    <row r="42" spans="1:9" x14ac:dyDescent="0.3">
      <c r="D42" s="59"/>
      <c r="E42" s="99"/>
      <c r="F42" s="99"/>
      <c r="G42" s="153">
        <f t="shared" si="0"/>
        <v>0</v>
      </c>
    </row>
    <row r="43" spans="1:9" x14ac:dyDescent="0.3">
      <c r="A43" s="4">
        <v>10</v>
      </c>
      <c r="B43" t="s">
        <v>96</v>
      </c>
      <c r="D43" s="154"/>
      <c r="E43" s="155">
        <f>SUM(E29:E42)</f>
        <v>0</v>
      </c>
      <c r="F43" s="155">
        <f>SUM(F29:F42)</f>
        <v>0</v>
      </c>
      <c r="G43" s="155">
        <f>SUM(G29:G42)</f>
        <v>0</v>
      </c>
      <c r="I43" s="216"/>
    </row>
    <row r="44" spans="1:9" x14ac:dyDescent="0.3">
      <c r="D44" s="154"/>
      <c r="E44" s="155"/>
      <c r="F44" s="155"/>
      <c r="G44" s="116"/>
    </row>
    <row r="45" spans="1:9" x14ac:dyDescent="0.3">
      <c r="A45" s="4">
        <v>11</v>
      </c>
      <c r="B45" s="91" t="s">
        <v>97</v>
      </c>
      <c r="E45" s="153">
        <f>SUM(E8:E44)-E27-E43</f>
        <v>0</v>
      </c>
      <c r="F45" s="153">
        <f t="shared" ref="F45:G45" si="1">SUM(F8:F44)-F27-F43</f>
        <v>0</v>
      </c>
      <c r="G45" s="153">
        <f t="shared" si="1"/>
        <v>0</v>
      </c>
      <c r="I45" s="216"/>
    </row>
    <row r="49" spans="1:9" x14ac:dyDescent="0.3">
      <c r="A49" s="4" t="s">
        <v>98</v>
      </c>
      <c r="D49" t="s">
        <v>99</v>
      </c>
      <c r="E49">
        <f>SUMIF('W-2 Summary'!B7:K7,"T",'W-2 Summary'!B16:K16)</f>
        <v>0</v>
      </c>
      <c r="F49">
        <f>SUMIF('W-2 Summary'!B7:K7,"S",'W-2 Summary'!B16:K16)</f>
        <v>0</v>
      </c>
      <c r="G49">
        <f>E49+F49</f>
        <v>0</v>
      </c>
      <c r="I49" s="216"/>
    </row>
    <row r="50" spans="1:9" x14ac:dyDescent="0.3">
      <c r="A50" s="4" t="s">
        <v>100</v>
      </c>
      <c r="D50" t="s">
        <v>101</v>
      </c>
      <c r="E50" s="153">
        <f>SUMIF('1099-R Summary'!B6:L6,"T",'1099-R Summary'!B20:L20)+SUMIF('Brokerage Summary (Sch B, D)'!D7:O7,"T",'Brokerage Summary (Sch B, D)'!D130:P130)+0.5*SUMIF('Brokerage Summary (Sch B, D)'!D7:O7,"J",'Brokerage Summary (Sch B, D)'!D130:P130)+'Social Security'!B12</f>
        <v>0</v>
      </c>
      <c r="F50" s="153">
        <f>SUMIF('1099-R Summary'!B6:L6,"T",'1099-R Summary'!B20:L20)+SUMIF('Brokerage Summary (Sch B, D)'!D7:O7,"T",'Brokerage Summary (Sch B, D)'!D130:P130)+0.5*SUMIF('Brokerage Summary (Sch B, D)'!D7:O7,"J",'Brokerage Summary (Sch B, D)'!D130:P130)+'Social Security'!C12</f>
        <v>0</v>
      </c>
      <c r="G50">
        <f t="shared" ref="G50" si="2">E50+F50</f>
        <v>0</v>
      </c>
      <c r="I50" s="216"/>
    </row>
    <row r="51" spans="1:9" x14ac:dyDescent="0.3">
      <c r="A51" s="4" t="s">
        <v>102</v>
      </c>
      <c r="D51" t="s">
        <v>103</v>
      </c>
      <c r="E51" s="60"/>
      <c r="F51" s="60"/>
      <c r="G51" s="153">
        <f>'W-2 Summary'!B61</f>
        <v>0</v>
      </c>
      <c r="I51" s="216"/>
    </row>
    <row r="52" spans="1:9" x14ac:dyDescent="0.3">
      <c r="A52" s="4" t="s">
        <v>104</v>
      </c>
      <c r="D52" t="s">
        <v>105</v>
      </c>
      <c r="E52">
        <f>SUM(E49:E51)</f>
        <v>0</v>
      </c>
      <c r="F52">
        <f>SUM(F49:F51)</f>
        <v>0</v>
      </c>
      <c r="G52">
        <f>SUM(G49:G51)</f>
        <v>0</v>
      </c>
      <c r="I52" s="216"/>
    </row>
  </sheetData>
  <mergeCells count="3">
    <mergeCell ref="D1:F1"/>
    <mergeCell ref="D2:F2"/>
    <mergeCell ref="E4:F4"/>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C000"/>
  </sheetPr>
  <dimension ref="A1:N67"/>
  <sheetViews>
    <sheetView tabSelected="1" zoomScaleNormal="100" workbookViewId="0">
      <pane xSplit="1" ySplit="9" topLeftCell="B10" activePane="bottomRight" state="frozen"/>
      <selection pane="topRight" activeCell="B1" sqref="B1"/>
      <selection pane="bottomLeft" activeCell="A7" sqref="A7"/>
      <selection pane="bottomRight" activeCell="D18" sqref="D18"/>
    </sheetView>
  </sheetViews>
  <sheetFormatPr defaultColWidth="9.109375" defaultRowHeight="14.4" x14ac:dyDescent="0.3"/>
  <cols>
    <col min="1" max="1" width="36.6640625" style="35" bestFit="1" customWidth="1"/>
    <col min="2" max="2" width="25.6640625" style="35" customWidth="1"/>
    <col min="3" max="3" width="26.5546875" style="35" bestFit="1" customWidth="1"/>
    <col min="4" max="6" width="20.44140625" style="35" bestFit="1" customWidth="1"/>
    <col min="7" max="9" width="20.44140625" style="35" customWidth="1"/>
    <col min="10" max="10" width="22.33203125" style="35" customWidth="1"/>
    <col min="11" max="11" width="20.33203125" style="35" customWidth="1"/>
    <col min="12" max="12" width="9.109375" style="35" hidden="1" customWidth="1"/>
    <col min="13" max="13" width="3" style="35" customWidth="1"/>
    <col min="14" max="14" width="11.5546875" style="35" bestFit="1" customWidth="1"/>
    <col min="15" max="16384" width="9.109375" style="35"/>
  </cols>
  <sheetData>
    <row r="1" spans="1:14" ht="15" thickBot="1" x14ac:dyDescent="0.35">
      <c r="A1" s="91"/>
      <c r="B1" s="233" t="s">
        <v>56</v>
      </c>
      <c r="C1" s="235"/>
      <c r="D1" s="63"/>
      <c r="E1" s="76" t="s">
        <v>106</v>
      </c>
      <c r="F1" s="88">
        <v>168600</v>
      </c>
      <c r="H1" s="241" t="s">
        <v>107</v>
      </c>
      <c r="I1" s="242"/>
      <c r="J1" s="243"/>
    </row>
    <row r="2" spans="1:14" ht="15" thickBot="1" x14ac:dyDescent="0.35">
      <c r="A2" t="s">
        <v>108</v>
      </c>
      <c r="B2" s="236" t="s">
        <v>57</v>
      </c>
      <c r="C2" s="238"/>
      <c r="E2" s="77" t="s">
        <v>109</v>
      </c>
      <c r="F2" s="78">
        <v>6.2E-2</v>
      </c>
      <c r="H2" s="244"/>
      <c r="I2" s="245"/>
      <c r="J2" s="246"/>
    </row>
    <row r="3" spans="1:14" ht="15" thickBot="1" x14ac:dyDescent="0.35">
      <c r="A3" t="s">
        <v>108</v>
      </c>
      <c r="E3" s="77" t="s">
        <v>110</v>
      </c>
      <c r="F3" s="79">
        <f>ROUND(F1*F2,2)</f>
        <v>10453.200000000001</v>
      </c>
      <c r="H3" s="247"/>
      <c r="I3" s="248"/>
      <c r="J3" s="249"/>
    </row>
    <row r="4" spans="1:14" x14ac:dyDescent="0.3">
      <c r="A4"/>
      <c r="F4" s="214"/>
    </row>
    <row r="5" spans="1:14" x14ac:dyDescent="0.3">
      <c r="A5" s="220" t="s">
        <v>111</v>
      </c>
      <c r="B5" s="221"/>
      <c r="C5" s="221"/>
      <c r="D5" s="221"/>
      <c r="E5" s="221"/>
      <c r="F5" s="59"/>
      <c r="G5" s="59"/>
      <c r="H5" s="59"/>
      <c r="I5" s="59"/>
      <c r="J5" s="59"/>
      <c r="K5" s="59"/>
    </row>
    <row r="6" spans="1:14" x14ac:dyDescent="0.3">
      <c r="A6" s="221" t="s">
        <v>112</v>
      </c>
      <c r="B6" s="86"/>
      <c r="C6" s="86"/>
      <c r="D6" s="86"/>
      <c r="E6" s="86"/>
      <c r="F6" s="86"/>
      <c r="G6" s="86"/>
      <c r="H6" s="86"/>
      <c r="I6" s="86"/>
      <c r="J6" s="86"/>
      <c r="K6" s="86"/>
      <c r="N6" s="4" t="s">
        <v>63</v>
      </c>
    </row>
    <row r="7" spans="1:14" x14ac:dyDescent="0.3">
      <c r="A7" s="48" t="s">
        <v>113</v>
      </c>
      <c r="B7" s="57"/>
      <c r="C7" s="57"/>
      <c r="D7" s="57"/>
      <c r="E7" s="57"/>
      <c r="F7" s="57"/>
      <c r="G7" s="57"/>
      <c r="H7" s="57"/>
      <c r="I7" s="57"/>
      <c r="J7" s="57"/>
      <c r="K7" s="57"/>
      <c r="N7" s="45"/>
    </row>
    <row r="8" spans="1:14" x14ac:dyDescent="0.3">
      <c r="A8" s="48" t="s">
        <v>114</v>
      </c>
      <c r="B8" s="80"/>
      <c r="C8" s="81"/>
      <c r="D8" s="80"/>
      <c r="E8" s="80"/>
      <c r="F8" s="57"/>
      <c r="G8" s="57"/>
      <c r="H8" s="57"/>
      <c r="I8" s="57"/>
      <c r="J8" s="57"/>
      <c r="K8" s="57"/>
      <c r="N8" s="45"/>
    </row>
    <row r="9" spans="1:14" x14ac:dyDescent="0.3">
      <c r="A9" s="48" t="s">
        <v>115</v>
      </c>
      <c r="B9" s="80"/>
      <c r="C9" s="80"/>
      <c r="D9" s="80"/>
      <c r="E9" s="80"/>
      <c r="F9" s="80"/>
      <c r="G9" s="80"/>
      <c r="H9" s="80"/>
      <c r="I9" s="80"/>
      <c r="J9" s="80"/>
      <c r="K9" s="80"/>
      <c r="N9" s="45"/>
    </row>
    <row r="10" spans="1:14" x14ac:dyDescent="0.3">
      <c r="A10" s="48" t="s">
        <v>116</v>
      </c>
      <c r="B10" s="81"/>
      <c r="C10" s="81"/>
      <c r="D10" s="81"/>
      <c r="E10" s="81"/>
      <c r="F10" s="80"/>
      <c r="G10" s="80"/>
      <c r="H10" s="80"/>
      <c r="I10" s="80"/>
      <c r="J10" s="80"/>
      <c r="K10" s="80"/>
      <c r="N10" s="45"/>
    </row>
    <row r="11" spans="1:14" x14ac:dyDescent="0.3">
      <c r="A11" s="48" t="s">
        <v>117</v>
      </c>
      <c r="B11" s="81"/>
      <c r="C11" s="81"/>
      <c r="D11" s="81"/>
      <c r="E11" s="81"/>
      <c r="F11" s="80"/>
      <c r="G11" s="80"/>
      <c r="H11" s="80"/>
      <c r="I11" s="80"/>
      <c r="J11" s="80"/>
      <c r="K11" s="80"/>
      <c r="N11" s="45"/>
    </row>
    <row r="12" spans="1:14" x14ac:dyDescent="0.3">
      <c r="A12" s="48" t="s">
        <v>118</v>
      </c>
      <c r="B12" s="73"/>
      <c r="C12" s="73"/>
      <c r="D12" s="73"/>
      <c r="E12" s="73"/>
      <c r="F12" s="73"/>
      <c r="G12" s="73"/>
      <c r="H12" s="73"/>
      <c r="I12" s="73"/>
      <c r="J12" s="73"/>
      <c r="K12" s="73"/>
      <c r="N12" s="45"/>
    </row>
    <row r="13" spans="1:14" x14ac:dyDescent="0.3">
      <c r="A13" s="48" t="s">
        <v>119</v>
      </c>
      <c r="B13" s="80"/>
      <c r="C13" s="80"/>
      <c r="D13" s="80"/>
      <c r="E13" s="80"/>
      <c r="F13" s="80"/>
      <c r="G13" s="80"/>
      <c r="H13" s="80"/>
      <c r="I13" s="80"/>
      <c r="J13" s="80"/>
      <c r="K13" s="80"/>
      <c r="N13" s="45"/>
    </row>
    <row r="14" spans="1:14" x14ac:dyDescent="0.3">
      <c r="A14" s="48" t="s">
        <v>120</v>
      </c>
      <c r="B14" s="80"/>
      <c r="C14" s="80"/>
      <c r="D14" s="80"/>
      <c r="E14" s="80"/>
      <c r="F14" s="80"/>
      <c r="G14" s="80"/>
      <c r="H14" s="80"/>
      <c r="I14" s="80"/>
      <c r="J14" s="80"/>
      <c r="K14" s="80"/>
      <c r="N14" s="45"/>
    </row>
    <row r="15" spans="1:14" x14ac:dyDescent="0.3">
      <c r="A15" s="48" t="s">
        <v>121</v>
      </c>
      <c r="B15" s="59"/>
      <c r="C15" s="59"/>
      <c r="D15" s="59"/>
      <c r="E15" s="59"/>
      <c r="F15" s="59"/>
      <c r="G15" s="59"/>
      <c r="H15" s="59"/>
      <c r="I15" s="59"/>
      <c r="J15" s="59"/>
      <c r="K15" s="59"/>
      <c r="N15" s="46">
        <f>SUM(B15:L15)</f>
        <v>0</v>
      </c>
    </row>
    <row r="16" spans="1:14" x14ac:dyDescent="0.3">
      <c r="A16" s="48" t="s">
        <v>122</v>
      </c>
      <c r="B16" s="59"/>
      <c r="C16" s="59"/>
      <c r="D16" s="59"/>
      <c r="E16" s="59"/>
      <c r="F16" s="59"/>
      <c r="G16" s="59"/>
      <c r="H16" s="59"/>
      <c r="I16" s="59"/>
      <c r="J16" s="59"/>
      <c r="K16" s="59"/>
      <c r="N16" s="46">
        <f t="shared" ref="N16:N39" si="0">SUM(B16:L16)</f>
        <v>0</v>
      </c>
    </row>
    <row r="17" spans="1:14" x14ac:dyDescent="0.3">
      <c r="A17" s="48" t="s">
        <v>123</v>
      </c>
      <c r="B17" s="59"/>
      <c r="C17" s="59"/>
      <c r="D17" s="59"/>
      <c r="E17" s="59"/>
      <c r="F17" s="59"/>
      <c r="G17" s="59"/>
      <c r="H17" s="59"/>
      <c r="I17" s="59"/>
      <c r="J17" s="59"/>
      <c r="K17" s="59"/>
      <c r="N17" s="46">
        <f t="shared" si="0"/>
        <v>0</v>
      </c>
    </row>
    <row r="18" spans="1:14" x14ac:dyDescent="0.3">
      <c r="A18" s="48" t="s">
        <v>124</v>
      </c>
      <c r="B18" s="59"/>
      <c r="C18" s="59"/>
      <c r="D18" s="59"/>
      <c r="E18" s="59"/>
      <c r="F18" s="59"/>
      <c r="G18" s="59"/>
      <c r="H18" s="59"/>
      <c r="I18" s="59"/>
      <c r="J18" s="59"/>
      <c r="K18" s="59"/>
      <c r="N18" s="46">
        <f t="shared" si="0"/>
        <v>0</v>
      </c>
    </row>
    <row r="19" spans="1:14" x14ac:dyDescent="0.3">
      <c r="A19" s="48" t="s">
        <v>125</v>
      </c>
      <c r="B19" s="59"/>
      <c r="C19" s="59"/>
      <c r="D19" s="59"/>
      <c r="E19" s="59"/>
      <c r="F19" s="59"/>
      <c r="G19" s="59"/>
      <c r="H19" s="59"/>
      <c r="I19" s="59"/>
      <c r="J19" s="59"/>
      <c r="K19" s="59"/>
      <c r="N19" s="46">
        <f t="shared" si="0"/>
        <v>0</v>
      </c>
    </row>
    <row r="20" spans="1:14" x14ac:dyDescent="0.3">
      <c r="A20" s="48" t="s">
        <v>126</v>
      </c>
      <c r="B20" s="59"/>
      <c r="C20" s="59"/>
      <c r="D20" s="59"/>
      <c r="E20" s="59"/>
      <c r="F20" s="59"/>
      <c r="G20" s="59"/>
      <c r="H20" s="59"/>
      <c r="I20" s="59"/>
      <c r="J20" s="59"/>
      <c r="K20" s="59"/>
      <c r="N20" s="46">
        <f t="shared" si="0"/>
        <v>0</v>
      </c>
    </row>
    <row r="21" spans="1:14" x14ac:dyDescent="0.3">
      <c r="A21" s="48" t="s">
        <v>127</v>
      </c>
      <c r="B21" s="59"/>
      <c r="C21" s="59"/>
      <c r="D21" s="59"/>
      <c r="E21" s="59"/>
      <c r="F21" s="59"/>
      <c r="G21" s="59"/>
      <c r="H21" s="59"/>
      <c r="I21" s="59"/>
      <c r="J21" s="59"/>
      <c r="K21" s="59"/>
      <c r="N21" s="46">
        <f t="shared" si="0"/>
        <v>0</v>
      </c>
    </row>
    <row r="22" spans="1:14" x14ac:dyDescent="0.3">
      <c r="A22" s="48" t="s">
        <v>128</v>
      </c>
      <c r="B22" s="59"/>
      <c r="C22" s="59"/>
      <c r="D22" s="59"/>
      <c r="E22" s="59"/>
      <c r="F22" s="59"/>
      <c r="G22" s="59"/>
      <c r="H22" s="59"/>
      <c r="I22" s="59"/>
      <c r="J22" s="59"/>
      <c r="K22" s="59"/>
      <c r="N22" s="46">
        <f t="shared" si="0"/>
        <v>0</v>
      </c>
    </row>
    <row r="23" spans="1:14" x14ac:dyDescent="0.3">
      <c r="A23" s="48" t="s">
        <v>129</v>
      </c>
      <c r="B23" s="59"/>
      <c r="C23" s="59"/>
      <c r="D23" s="59"/>
      <c r="E23" s="59"/>
      <c r="F23" s="59"/>
      <c r="G23" s="59"/>
      <c r="H23" s="59"/>
      <c r="I23" s="59"/>
      <c r="J23" s="59"/>
      <c r="K23" s="59"/>
      <c r="N23" s="46">
        <f t="shared" si="0"/>
        <v>0</v>
      </c>
    </row>
    <row r="24" spans="1:14" x14ac:dyDescent="0.3">
      <c r="A24" s="48" t="s">
        <v>130</v>
      </c>
      <c r="B24" s="59"/>
      <c r="C24" s="59"/>
      <c r="D24" s="59"/>
      <c r="E24" s="59"/>
      <c r="F24" s="59"/>
      <c r="G24" s="59"/>
      <c r="H24" s="59"/>
      <c r="I24" s="59"/>
      <c r="J24" s="59"/>
      <c r="K24" s="59"/>
      <c r="N24" s="46">
        <f t="shared" si="0"/>
        <v>0</v>
      </c>
    </row>
    <row r="25" spans="1:14" x14ac:dyDescent="0.3">
      <c r="A25" s="48" t="s">
        <v>131</v>
      </c>
      <c r="B25" s="59"/>
      <c r="C25" s="59"/>
      <c r="D25" s="59"/>
      <c r="E25" s="59"/>
      <c r="F25" s="59"/>
      <c r="G25" s="59"/>
      <c r="H25" s="59"/>
      <c r="I25" s="59"/>
      <c r="J25" s="59"/>
      <c r="K25" s="59"/>
      <c r="N25" s="46">
        <f t="shared" si="0"/>
        <v>0</v>
      </c>
    </row>
    <row r="26" spans="1:14" x14ac:dyDescent="0.3">
      <c r="A26" s="48" t="s">
        <v>132</v>
      </c>
      <c r="B26" s="59"/>
      <c r="C26" s="59"/>
      <c r="D26" s="59"/>
      <c r="E26" s="59"/>
      <c r="F26" s="59"/>
      <c r="G26" s="59"/>
      <c r="H26" s="59"/>
      <c r="I26" s="59"/>
      <c r="J26" s="59"/>
      <c r="K26" s="59"/>
      <c r="N26" s="46">
        <f t="shared" si="0"/>
        <v>0</v>
      </c>
    </row>
    <row r="27" spans="1:14" x14ac:dyDescent="0.3">
      <c r="A27" s="48" t="s">
        <v>133</v>
      </c>
      <c r="B27" s="59"/>
      <c r="C27" s="59"/>
      <c r="D27" s="59"/>
      <c r="E27" s="59"/>
      <c r="F27" s="59"/>
      <c r="G27" s="59"/>
      <c r="H27" s="59"/>
      <c r="I27" s="59"/>
      <c r="J27" s="59"/>
      <c r="K27" s="59"/>
      <c r="N27" s="46">
        <f t="shared" si="0"/>
        <v>0</v>
      </c>
    </row>
    <row r="28" spans="1:14" x14ac:dyDescent="0.3">
      <c r="A28" s="48" t="s">
        <v>134</v>
      </c>
      <c r="B28" s="59"/>
      <c r="C28" s="59"/>
      <c r="D28" s="59"/>
      <c r="E28" s="59"/>
      <c r="F28" s="59"/>
      <c r="G28" s="59"/>
      <c r="H28" s="59"/>
      <c r="I28" s="59"/>
      <c r="J28" s="59"/>
      <c r="K28" s="59"/>
      <c r="N28" s="46">
        <f t="shared" si="0"/>
        <v>0</v>
      </c>
    </row>
    <row r="29" spans="1:14" x14ac:dyDescent="0.3">
      <c r="A29" s="48" t="s">
        <v>135</v>
      </c>
      <c r="B29" s="59"/>
      <c r="C29" s="59"/>
      <c r="D29" s="59"/>
      <c r="E29" s="59"/>
      <c r="F29" s="59"/>
      <c r="G29" s="59"/>
      <c r="H29" s="59"/>
      <c r="I29" s="59"/>
      <c r="J29" s="59"/>
      <c r="K29" s="59"/>
      <c r="N29" s="46">
        <f t="shared" si="0"/>
        <v>0</v>
      </c>
    </row>
    <row r="30" spans="1:14" x14ac:dyDescent="0.3">
      <c r="A30" s="48" t="s">
        <v>136</v>
      </c>
      <c r="B30" s="59"/>
      <c r="C30" s="59"/>
      <c r="D30" s="59"/>
      <c r="E30" s="59"/>
      <c r="F30" s="59"/>
      <c r="G30" s="59"/>
      <c r="H30" s="59"/>
      <c r="I30" s="59"/>
      <c r="J30" s="59"/>
      <c r="K30" s="59"/>
      <c r="N30" s="46">
        <f t="shared" si="0"/>
        <v>0</v>
      </c>
    </row>
    <row r="31" spans="1:14" x14ac:dyDescent="0.3">
      <c r="A31" s="48" t="s">
        <v>137</v>
      </c>
      <c r="B31" s="59"/>
      <c r="C31" s="59"/>
      <c r="D31" s="59"/>
      <c r="E31" s="59"/>
      <c r="F31" s="59"/>
      <c r="G31" s="59"/>
      <c r="H31" s="59"/>
      <c r="I31" s="59"/>
      <c r="J31" s="59"/>
      <c r="K31" s="59"/>
      <c r="N31" s="46">
        <f t="shared" si="0"/>
        <v>0</v>
      </c>
    </row>
    <row r="32" spans="1:14" x14ac:dyDescent="0.3">
      <c r="A32" s="48" t="s">
        <v>138</v>
      </c>
      <c r="B32" s="59"/>
      <c r="C32" s="59"/>
      <c r="D32" s="59"/>
      <c r="E32" s="59"/>
      <c r="F32" s="59"/>
      <c r="G32" s="59"/>
      <c r="H32" s="59"/>
      <c r="I32" s="59"/>
      <c r="J32" s="59"/>
      <c r="K32" s="59"/>
      <c r="N32" s="46">
        <f t="shared" si="0"/>
        <v>0</v>
      </c>
    </row>
    <row r="33" spans="1:14" x14ac:dyDescent="0.3">
      <c r="A33" s="48" t="s">
        <v>139</v>
      </c>
      <c r="B33" s="59"/>
      <c r="C33" s="59"/>
      <c r="D33" s="59"/>
      <c r="E33" s="59"/>
      <c r="F33" s="59"/>
      <c r="G33" s="59"/>
      <c r="H33" s="59"/>
      <c r="I33" s="59"/>
      <c r="J33" s="59"/>
      <c r="K33" s="59"/>
      <c r="N33" s="46">
        <f t="shared" si="0"/>
        <v>0</v>
      </c>
    </row>
    <row r="34" spans="1:14" x14ac:dyDescent="0.3">
      <c r="A34" s="48" t="s">
        <v>140</v>
      </c>
      <c r="B34" s="59"/>
      <c r="C34" s="59"/>
      <c r="D34" s="59"/>
      <c r="E34" s="59"/>
      <c r="F34" s="59"/>
      <c r="G34" s="59"/>
      <c r="H34" s="59"/>
      <c r="I34" s="59"/>
      <c r="J34" s="59"/>
      <c r="K34" s="59"/>
      <c r="N34" s="46">
        <f t="shared" si="0"/>
        <v>0</v>
      </c>
    </row>
    <row r="35" spans="1:14" x14ac:dyDescent="0.3">
      <c r="A35" s="48" t="s">
        <v>141</v>
      </c>
      <c r="B35" s="59"/>
      <c r="C35" s="59"/>
      <c r="D35" s="59"/>
      <c r="E35" s="59"/>
      <c r="F35" s="59"/>
      <c r="G35" s="59"/>
      <c r="H35" s="59"/>
      <c r="I35" s="59"/>
      <c r="J35" s="59"/>
      <c r="K35" s="59"/>
      <c r="N35" s="46">
        <f t="shared" si="0"/>
        <v>0</v>
      </c>
    </row>
    <row r="36" spans="1:14" x14ac:dyDescent="0.3">
      <c r="A36" s="48" t="s">
        <v>142</v>
      </c>
      <c r="B36" s="59"/>
      <c r="C36" s="59"/>
      <c r="D36" s="59"/>
      <c r="E36" s="59"/>
      <c r="F36" s="59"/>
      <c r="G36" s="59"/>
      <c r="H36" s="59"/>
      <c r="I36" s="59"/>
      <c r="J36" s="59"/>
      <c r="K36" s="59"/>
      <c r="N36" s="68">
        <f t="shared" si="0"/>
        <v>0</v>
      </c>
    </row>
    <row r="37" spans="1:14" x14ac:dyDescent="0.3">
      <c r="A37" s="48" t="s">
        <v>143</v>
      </c>
      <c r="B37" s="59"/>
      <c r="C37" s="59"/>
      <c r="D37" s="59"/>
      <c r="E37" s="59"/>
      <c r="F37" s="59"/>
      <c r="G37" s="59"/>
      <c r="H37" s="59"/>
      <c r="I37" s="59"/>
      <c r="J37" s="59"/>
      <c r="K37" s="59"/>
      <c r="N37" s="68">
        <f t="shared" si="0"/>
        <v>0</v>
      </c>
    </row>
    <row r="38" spans="1:14" x14ac:dyDescent="0.3">
      <c r="A38" s="48" t="s">
        <v>144</v>
      </c>
      <c r="B38" s="59"/>
      <c r="C38" s="59"/>
      <c r="D38" s="59"/>
      <c r="E38" s="59"/>
      <c r="F38" s="59"/>
      <c r="G38" s="59"/>
      <c r="H38" s="59"/>
      <c r="I38" s="59"/>
      <c r="J38" s="59"/>
      <c r="K38" s="59"/>
      <c r="N38" s="68">
        <f t="shared" si="0"/>
        <v>0</v>
      </c>
    </row>
    <row r="39" spans="1:14" x14ac:dyDescent="0.3">
      <c r="A39" s="48" t="s">
        <v>145</v>
      </c>
      <c r="B39" s="59"/>
      <c r="C39" s="59"/>
      <c r="D39" s="59"/>
      <c r="E39" s="59"/>
      <c r="F39" s="59"/>
      <c r="G39" s="59"/>
      <c r="H39" s="59"/>
      <c r="I39" s="59"/>
      <c r="J39" s="59"/>
      <c r="K39" s="59"/>
      <c r="N39" s="46">
        <f t="shared" si="0"/>
        <v>0</v>
      </c>
    </row>
    <row r="40" spans="1:14" x14ac:dyDescent="0.3">
      <c r="A40" s="48" t="s">
        <v>146</v>
      </c>
      <c r="B40" s="87"/>
      <c r="C40" s="87"/>
      <c r="D40" s="87"/>
      <c r="E40" s="87"/>
      <c r="F40" s="87"/>
      <c r="G40" s="87"/>
      <c r="H40" s="87"/>
      <c r="I40" s="87"/>
      <c r="J40" s="87"/>
      <c r="K40" s="87"/>
      <c r="N40" s="47"/>
    </row>
    <row r="41" spans="1:14" x14ac:dyDescent="0.3">
      <c r="A41" s="48" t="s">
        <v>147</v>
      </c>
      <c r="B41" s="59"/>
      <c r="C41" s="59"/>
      <c r="D41" s="59"/>
      <c r="E41" s="59"/>
      <c r="F41" s="59"/>
      <c r="G41" s="59"/>
      <c r="H41" s="59"/>
      <c r="I41" s="59"/>
      <c r="J41" s="59"/>
      <c r="K41" s="59"/>
      <c r="N41" s="46">
        <f>SUM(B41:L41)</f>
        <v>0</v>
      </c>
    </row>
    <row r="42" spans="1:14" x14ac:dyDescent="0.3">
      <c r="A42" s="48" t="s">
        <v>148</v>
      </c>
      <c r="B42" s="59"/>
      <c r="C42" s="59"/>
      <c r="D42" s="59"/>
      <c r="E42" s="59"/>
      <c r="F42" s="59"/>
      <c r="G42" s="59"/>
      <c r="H42" s="59"/>
      <c r="I42" s="59"/>
      <c r="J42" s="59"/>
      <c r="K42" s="59"/>
      <c r="N42" s="46">
        <f t="shared" ref="N42:N44" si="1">SUM(B42:L42)</f>
        <v>0</v>
      </c>
    </row>
    <row r="43" spans="1:14" x14ac:dyDescent="0.3">
      <c r="A43" s="48" t="s">
        <v>149</v>
      </c>
      <c r="B43" s="59"/>
      <c r="C43" s="59"/>
      <c r="D43" s="59"/>
      <c r="E43" s="59"/>
      <c r="F43" s="59"/>
      <c r="G43" s="59"/>
      <c r="H43" s="59"/>
      <c r="I43" s="59"/>
      <c r="J43" s="59"/>
      <c r="K43" s="59"/>
      <c r="N43" s="46">
        <f t="shared" si="1"/>
        <v>0</v>
      </c>
    </row>
    <row r="44" spans="1:14" x14ac:dyDescent="0.3">
      <c r="A44" s="48" t="s">
        <v>150</v>
      </c>
      <c r="B44" s="59"/>
      <c r="C44" s="59"/>
      <c r="D44" s="59"/>
      <c r="E44" s="59"/>
      <c r="F44" s="59"/>
      <c r="G44" s="59"/>
      <c r="H44" s="59"/>
      <c r="I44" s="59"/>
      <c r="J44" s="59"/>
      <c r="K44" s="59"/>
      <c r="N44" s="46">
        <f t="shared" si="1"/>
        <v>0</v>
      </c>
    </row>
    <row r="45" spans="1:14" x14ac:dyDescent="0.3">
      <c r="A45" s="35" t="s">
        <v>151</v>
      </c>
      <c r="B45" s="59"/>
      <c r="C45" s="225"/>
      <c r="D45" s="59"/>
      <c r="E45" s="59"/>
      <c r="F45" s="59"/>
      <c r="G45" s="59"/>
      <c r="H45" s="59"/>
      <c r="I45" s="59"/>
      <c r="J45" s="59"/>
      <c r="K45" s="59"/>
      <c r="N45" s="213"/>
    </row>
    <row r="46" spans="1:14" x14ac:dyDescent="0.3">
      <c r="N46" s="36"/>
    </row>
    <row r="47" spans="1:14" x14ac:dyDescent="0.3">
      <c r="B47" s="83" t="s">
        <v>152</v>
      </c>
      <c r="C47" s="83" t="s">
        <v>153</v>
      </c>
      <c r="D47" s="83" t="s">
        <v>63</v>
      </c>
    </row>
    <row r="48" spans="1:14" x14ac:dyDescent="0.3">
      <c r="A48" s="35" t="s">
        <v>154</v>
      </c>
      <c r="B48" s="37">
        <f>SUMIF($B$7:$L$7,"T",$B$17:$L$17)</f>
        <v>0</v>
      </c>
      <c r="C48" s="37">
        <f>SUMIF($B$7:$L$7,"S",$B$17:$L$17)</f>
        <v>0</v>
      </c>
      <c r="D48" s="37">
        <f>SUM(B48:C48)</f>
        <v>0</v>
      </c>
    </row>
    <row r="49" spans="1:5" x14ac:dyDescent="0.3">
      <c r="A49" s="35" t="s">
        <v>155</v>
      </c>
      <c r="B49" s="142">
        <f>+SUMIF($B$7:$L$7,"T",$B$21:$L$21)</f>
        <v>0</v>
      </c>
      <c r="C49" s="142">
        <f>+SUMIF($B$7:$L$7,"S",$B$21:$L$21)</f>
        <v>0</v>
      </c>
      <c r="D49" s="142">
        <f>SUM(B49:C49)</f>
        <v>0</v>
      </c>
    </row>
    <row r="50" spans="1:5" x14ac:dyDescent="0.3">
      <c r="A50" s="35" t="s">
        <v>156</v>
      </c>
      <c r="B50" s="37">
        <f>B48+B49</f>
        <v>0</v>
      </c>
      <c r="C50" s="37">
        <f>C48+C49</f>
        <v>0</v>
      </c>
      <c r="D50" s="37">
        <f>D48+D49</f>
        <v>0</v>
      </c>
    </row>
    <row r="51" spans="1:5" x14ac:dyDescent="0.3">
      <c r="A51" s="35" t="s">
        <v>157</v>
      </c>
      <c r="B51" s="42">
        <f t="shared" ref="B51:C51" si="2">$F$2</f>
        <v>6.2E-2</v>
      </c>
      <c r="C51" s="42">
        <f t="shared" si="2"/>
        <v>6.2E-2</v>
      </c>
      <c r="D51" s="42">
        <f>$F$2</f>
        <v>6.2E-2</v>
      </c>
    </row>
    <row r="52" spans="1:5" x14ac:dyDescent="0.3">
      <c r="A52" s="35" t="s">
        <v>158</v>
      </c>
      <c r="B52" s="38">
        <f>MIN(ROUND(B50*B51,2),F3)</f>
        <v>0</v>
      </c>
      <c r="C52" s="38">
        <f>MIN(ROUND(C50*C51,2),F3)</f>
        <v>0</v>
      </c>
      <c r="D52" s="38">
        <f>SUM(B52:C52)</f>
        <v>0</v>
      </c>
      <c r="E52" s="36"/>
    </row>
    <row r="53" spans="1:5" x14ac:dyDescent="0.3">
      <c r="A53" s="35" t="s">
        <v>159</v>
      </c>
      <c r="B53" s="39">
        <f>-SUMIF($B$7:$L$7,"T",$B$18:$L$18)</f>
        <v>0</v>
      </c>
      <c r="C53" s="39">
        <f>-SUMIF($B$7:$L$7,"S",$B$18:$L$18)</f>
        <v>0</v>
      </c>
      <c r="D53" s="39">
        <f>SUM(B53:C53)</f>
        <v>0</v>
      </c>
    </row>
    <row r="54" spans="1:5" x14ac:dyDescent="0.3">
      <c r="A54" s="35" t="str">
        <f>IF(ABS(SUM(D52:D53))&gt;=1,"Difference - Additional SS W/H","No Difference")</f>
        <v>No Difference</v>
      </c>
      <c r="B54" s="40">
        <f t="shared" ref="B54:D54" si="3">ROUND(ABS(SUM(B52:B53)),0)</f>
        <v>0</v>
      </c>
      <c r="C54" s="40">
        <f t="shared" si="3"/>
        <v>0</v>
      </c>
      <c r="D54" s="40">
        <f t="shared" si="3"/>
        <v>0</v>
      </c>
      <c r="E54" t="str">
        <f>IF(D54&gt;0,"Schedule 3, Line 11"," ")</f>
        <v xml:space="preserve"> </v>
      </c>
    </row>
    <row r="56" spans="1:5" x14ac:dyDescent="0.3">
      <c r="B56" s="83" t="s">
        <v>63</v>
      </c>
      <c r="C56" s="83"/>
      <c r="D56" s="83"/>
      <c r="E56" s="83"/>
    </row>
    <row r="57" spans="1:5" x14ac:dyDescent="0.3">
      <c r="A57" s="35" t="s">
        <v>160</v>
      </c>
      <c r="B57" s="37">
        <f>N19</f>
        <v>0</v>
      </c>
    </row>
    <row r="58" spans="1:5" x14ac:dyDescent="0.3">
      <c r="A58" s="35" t="s">
        <v>161</v>
      </c>
      <c r="B58" s="42">
        <v>1.4500000000000001E-2</v>
      </c>
    </row>
    <row r="59" spans="1:5" x14ac:dyDescent="0.3">
      <c r="A59" s="35" t="s">
        <v>162</v>
      </c>
      <c r="B59" s="38">
        <f>ROUND(B57*B58,2)</f>
        <v>0</v>
      </c>
    </row>
    <row r="60" spans="1:5" x14ac:dyDescent="0.3">
      <c r="A60" s="35" t="s">
        <v>163</v>
      </c>
      <c r="B60" s="39">
        <f>-N20</f>
        <v>0</v>
      </c>
    </row>
    <row r="61" spans="1:5" x14ac:dyDescent="0.3">
      <c r="A61" s="35" t="str">
        <f>IF(ABS(SUM(B59:B60))&gt;=1,"Difference - Additional MC W/H","No Difference")</f>
        <v>No Difference</v>
      </c>
      <c r="B61" s="40">
        <f>ROUND(ABS(SUM(B59:B60)),0)</f>
        <v>0</v>
      </c>
      <c r="C61" t="str">
        <f>IF(B61&gt;0,"Form 8959, Line 22 and Form 1040, Line 25c"," ")</f>
        <v xml:space="preserve"> </v>
      </c>
    </row>
    <row r="63" spans="1:5" x14ac:dyDescent="0.3">
      <c r="A63" s="35" t="s">
        <v>160</v>
      </c>
      <c r="B63" s="38">
        <f>IF(N19&gt;250000,N19,0)</f>
        <v>0</v>
      </c>
    </row>
    <row r="64" spans="1:5" x14ac:dyDescent="0.3">
      <c r="A64" s="35" t="s">
        <v>164</v>
      </c>
      <c r="B64" s="43">
        <v>250000</v>
      </c>
    </row>
    <row r="65" spans="1:3" x14ac:dyDescent="0.3">
      <c r="A65" s="35" t="s">
        <v>165</v>
      </c>
      <c r="B65" s="38">
        <f>IF(B63-B64&lt;0,0,B63-B64)</f>
        <v>0</v>
      </c>
    </row>
    <row r="66" spans="1:3" x14ac:dyDescent="0.3">
      <c r="A66" s="35" t="s">
        <v>166</v>
      </c>
      <c r="B66" s="44">
        <v>8.9999999999999993E-3</v>
      </c>
    </row>
    <row r="67" spans="1:3" x14ac:dyDescent="0.3">
      <c r="A67" s="35" t="s">
        <v>167</v>
      </c>
      <c r="B67" s="41">
        <f>ROUND(B65*B66,0)</f>
        <v>0</v>
      </c>
      <c r="C67" t="str">
        <f>IF(B67&gt;0,"Form 8959 Line 7 and Schedule 2, Line 7"," " )</f>
        <v xml:space="preserve"> </v>
      </c>
    </row>
  </sheetData>
  <sheetProtection formatCells="0" formatColumns="0" formatRows="0" insertColumns="0" insertRows="0" insertHyperlinks="0" deleteColumns="0" deleteRows="0" sort="0" autoFilter="0" pivotTables="0"/>
  <mergeCells count="3">
    <mergeCell ref="B1:C1"/>
    <mergeCell ref="B2:C2"/>
    <mergeCell ref="H1:J3"/>
  </mergeCells>
  <pageMargins left="0.7" right="0.7" top="0.75" bottom="0.75" header="0.3" footer="0.3"/>
  <pageSetup orientation="portrait" r:id="rId1"/>
  <ignoredErrors>
    <ignoredError sqref="B57 A61 B59 B62:B66 A54 B54:D54 B51:C51 B55"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Lists!$A$1:$A$2</xm:f>
          </x14:formula1>
          <xm:sqref>F7:M8</xm:sqref>
        </x14:dataValidation>
        <x14:dataValidation type="list" allowBlank="1" showInputMessage="1" showErrorMessage="1" xr:uid="{00000000-0002-0000-0200-000001000000}">
          <x14:formula1>
            <xm:f>Lists!$B$1:$B$51</xm:f>
          </x14:formula1>
          <xm:sqref>D40:M40 F12:K12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FFC000"/>
    <pageSetUpPr fitToPage="1"/>
  </sheetPr>
  <dimension ref="A1:AA155"/>
  <sheetViews>
    <sheetView zoomScaleNormal="100" workbookViewId="0">
      <pane ySplit="11" topLeftCell="A12" activePane="bottomLeft" state="frozen"/>
      <selection pane="bottomLeft" activeCell="E18" sqref="E17:E18"/>
    </sheetView>
  </sheetViews>
  <sheetFormatPr defaultRowHeight="14.4" x14ac:dyDescent="0.3"/>
  <cols>
    <col min="1" max="1" width="2.6640625" customWidth="1"/>
    <col min="2" max="2" width="46.109375" customWidth="1"/>
    <col min="3" max="3" width="3" customWidth="1"/>
    <col min="4" max="4" width="24.33203125" customWidth="1"/>
    <col min="5" max="16" width="15.6640625" customWidth="1"/>
    <col min="17" max="17" width="7.88671875" hidden="1" customWidth="1"/>
    <col min="18" max="18" width="3" customWidth="1"/>
    <col min="19" max="19" width="13.33203125" bestFit="1" customWidth="1"/>
    <col min="20" max="20" width="18" customWidth="1"/>
    <col min="21" max="21" width="17.88671875" bestFit="1" customWidth="1"/>
    <col min="22" max="22" width="10.5546875" bestFit="1" customWidth="1"/>
    <col min="27" max="27" width="14.6640625" bestFit="1" customWidth="1"/>
  </cols>
  <sheetData>
    <row r="1" spans="1:27" x14ac:dyDescent="0.3">
      <c r="A1" s="91"/>
      <c r="D1" s="233" t="s">
        <v>56</v>
      </c>
      <c r="E1" s="234"/>
      <c r="F1" s="235"/>
      <c r="H1" s="250" t="s">
        <v>168</v>
      </c>
      <c r="I1" s="242"/>
      <c r="J1" s="242"/>
      <c r="K1" s="242"/>
      <c r="L1" s="242"/>
      <c r="M1" s="243"/>
      <c r="AA1" t="s">
        <v>169</v>
      </c>
    </row>
    <row r="2" spans="1:27" x14ac:dyDescent="0.3">
      <c r="A2" t="s">
        <v>108</v>
      </c>
      <c r="D2" s="236" t="s">
        <v>57</v>
      </c>
      <c r="E2" s="237"/>
      <c r="F2" s="238"/>
      <c r="H2" s="247"/>
      <c r="I2" s="248"/>
      <c r="J2" s="248"/>
      <c r="K2" s="248"/>
      <c r="L2" s="248"/>
      <c r="M2" s="249"/>
      <c r="AA2" t="s">
        <v>170</v>
      </c>
    </row>
    <row r="3" spans="1:27" x14ac:dyDescent="0.3">
      <c r="A3" t="s">
        <v>108</v>
      </c>
      <c r="AA3" t="s">
        <v>171</v>
      </c>
    </row>
    <row r="4" spans="1:27" x14ac:dyDescent="0.3">
      <c r="B4" s="220" t="s">
        <v>111</v>
      </c>
      <c r="C4" s="35"/>
      <c r="D4" s="91"/>
      <c r="E4" s="91"/>
      <c r="F4" s="91"/>
      <c r="G4" s="91"/>
      <c r="H4" s="91"/>
      <c r="I4" s="91"/>
      <c r="J4" s="91"/>
      <c r="K4" s="91"/>
      <c r="L4" s="81"/>
      <c r="M4" s="81"/>
      <c r="N4" s="81"/>
      <c r="O4" s="81"/>
    </row>
    <row r="5" spans="1:27" x14ac:dyDescent="0.3">
      <c r="B5" s="91" t="s">
        <v>112</v>
      </c>
      <c r="D5" s="34"/>
      <c r="E5" s="34"/>
      <c r="F5" s="34"/>
      <c r="G5" s="34"/>
      <c r="H5" s="34"/>
      <c r="I5" s="34"/>
      <c r="J5" s="34"/>
      <c r="K5" s="34"/>
      <c r="L5" s="34"/>
      <c r="M5" s="34"/>
      <c r="N5" s="34"/>
      <c r="O5" s="34"/>
    </row>
    <row r="7" spans="1:27" x14ac:dyDescent="0.3">
      <c r="A7" t="s">
        <v>172</v>
      </c>
      <c r="D7" s="81"/>
      <c r="E7" s="81"/>
      <c r="F7" s="81"/>
      <c r="G7" s="81"/>
      <c r="H7" s="81"/>
      <c r="I7" s="81"/>
      <c r="J7" s="81"/>
      <c r="K7" s="81"/>
      <c r="L7" s="81"/>
      <c r="M7" s="81"/>
      <c r="N7" s="81"/>
      <c r="O7" s="82"/>
      <c r="P7" s="81"/>
      <c r="Q7" s="4"/>
      <c r="S7" s="4" t="s">
        <v>63</v>
      </c>
    </row>
    <row r="8" spans="1:27" x14ac:dyDescent="0.3">
      <c r="A8" t="s">
        <v>173</v>
      </c>
      <c r="D8" s="81"/>
      <c r="E8" s="81"/>
      <c r="F8" s="81"/>
      <c r="G8" s="81"/>
      <c r="H8" s="81"/>
      <c r="I8" s="81"/>
      <c r="J8" s="81"/>
      <c r="K8" s="81"/>
      <c r="L8" s="81"/>
      <c r="M8" s="81"/>
      <c r="N8" s="81"/>
      <c r="O8" s="81"/>
      <c r="P8" s="81"/>
      <c r="Q8" s="4"/>
      <c r="S8" s="4"/>
    </row>
    <row r="9" spans="1:27" x14ac:dyDescent="0.3">
      <c r="A9" t="s">
        <v>174</v>
      </c>
      <c r="D9" s="81"/>
      <c r="E9" s="228"/>
      <c r="F9" s="228"/>
      <c r="G9" s="228"/>
      <c r="H9" s="228"/>
      <c r="I9" s="81"/>
      <c r="J9" s="228"/>
      <c r="K9" s="228"/>
      <c r="L9" s="81"/>
      <c r="M9" s="81"/>
      <c r="N9" s="81"/>
      <c r="O9" s="82"/>
      <c r="P9" s="81" t="s">
        <v>175</v>
      </c>
      <c r="Q9" s="2"/>
      <c r="S9" s="60"/>
    </row>
    <row r="10" spans="1:27" x14ac:dyDescent="0.3">
      <c r="A10" t="s">
        <v>176</v>
      </c>
      <c r="D10" s="81"/>
      <c r="E10" s="81"/>
      <c r="F10" s="81"/>
      <c r="G10" s="81"/>
      <c r="H10" s="81"/>
      <c r="I10" s="81"/>
      <c r="J10" s="81"/>
      <c r="K10" s="81"/>
      <c r="L10" s="81"/>
      <c r="M10" s="81"/>
      <c r="N10" s="81"/>
      <c r="O10" s="82"/>
      <c r="P10" s="81"/>
      <c r="Q10" s="2"/>
      <c r="S10" s="60"/>
    </row>
    <row r="11" spans="1:27" x14ac:dyDescent="0.3">
      <c r="A11" s="2" t="s">
        <v>177</v>
      </c>
      <c r="B11" s="2"/>
      <c r="C11" s="2"/>
      <c r="D11" s="57"/>
      <c r="E11" s="57"/>
      <c r="F11" s="57"/>
      <c r="G11" s="57"/>
      <c r="H11" s="57"/>
      <c r="I11" s="57"/>
      <c r="J11" s="57"/>
      <c r="K11" s="57"/>
      <c r="L11" s="57"/>
      <c r="M11" s="57"/>
      <c r="N11" s="57"/>
      <c r="O11" s="58"/>
      <c r="P11" s="57"/>
      <c r="Q11" s="2"/>
      <c r="S11" s="60"/>
    </row>
    <row r="13" spans="1:27" x14ac:dyDescent="0.3">
      <c r="A13" t="s">
        <v>178</v>
      </c>
      <c r="D13" s="56"/>
      <c r="E13" s="56"/>
      <c r="F13" s="56"/>
      <c r="G13" s="56"/>
      <c r="H13" s="56"/>
      <c r="I13" s="56"/>
      <c r="J13" s="56"/>
      <c r="K13" s="56"/>
      <c r="L13" s="56"/>
      <c r="M13" s="56"/>
      <c r="N13" s="56"/>
      <c r="O13" s="56"/>
      <c r="P13" s="46">
        <f>'Schedule E -K-1 Summary'!O21</f>
        <v>0</v>
      </c>
      <c r="Q13" s="50"/>
      <c r="S13" s="46">
        <f t="shared" ref="S13:S33" si="0">SUM(D13:Q13)</f>
        <v>0</v>
      </c>
      <c r="T13" t="s">
        <v>179</v>
      </c>
      <c r="U13" t="s">
        <v>180</v>
      </c>
      <c r="V13" s="89">
        <f>SUM(S13:S17,S19:S23)</f>
        <v>0</v>
      </c>
    </row>
    <row r="14" spans="1:27" x14ac:dyDescent="0.3">
      <c r="A14" t="s">
        <v>181</v>
      </c>
      <c r="D14" s="56"/>
      <c r="E14" s="56"/>
      <c r="F14" s="56"/>
      <c r="G14" s="56"/>
      <c r="H14" s="56"/>
      <c r="I14" s="56"/>
      <c r="J14" s="56"/>
      <c r="K14" s="56"/>
      <c r="L14" s="56"/>
      <c r="M14" s="56"/>
      <c r="N14" s="56"/>
      <c r="O14" s="56"/>
      <c r="P14" s="56"/>
      <c r="Q14" s="50"/>
      <c r="S14" s="46">
        <f t="shared" si="0"/>
        <v>0</v>
      </c>
      <c r="T14" t="s">
        <v>179</v>
      </c>
      <c r="V14" s="29"/>
    </row>
    <row r="15" spans="1:27" x14ac:dyDescent="0.3">
      <c r="A15" t="s">
        <v>182</v>
      </c>
      <c r="D15" s="56"/>
      <c r="E15" s="56"/>
      <c r="F15" s="56"/>
      <c r="G15" s="56"/>
      <c r="H15" s="56"/>
      <c r="I15" s="56"/>
      <c r="J15" s="56"/>
      <c r="K15" s="56"/>
      <c r="L15" s="56"/>
      <c r="M15" s="56"/>
      <c r="N15" s="56"/>
      <c r="O15" s="56"/>
      <c r="P15" s="56"/>
      <c r="Q15" s="50"/>
      <c r="S15" s="46">
        <f t="shared" si="0"/>
        <v>0</v>
      </c>
      <c r="T15" t="s">
        <v>179</v>
      </c>
      <c r="U15" t="s">
        <v>183</v>
      </c>
      <c r="V15" s="89">
        <f>SUM(S24:S28)+S47</f>
        <v>0</v>
      </c>
    </row>
    <row r="16" spans="1:27" x14ac:dyDescent="0.3">
      <c r="A16" t="s">
        <v>184</v>
      </c>
      <c r="D16" s="56"/>
      <c r="E16" s="56"/>
      <c r="F16" s="56"/>
      <c r="G16" s="56"/>
      <c r="H16" s="56"/>
      <c r="I16" s="56"/>
      <c r="J16" s="56"/>
      <c r="K16" s="56"/>
      <c r="L16" s="56"/>
      <c r="M16" s="56"/>
      <c r="N16" s="56"/>
      <c r="O16" s="56"/>
      <c r="P16" s="56"/>
      <c r="Q16" s="50"/>
      <c r="S16" s="46">
        <f t="shared" si="0"/>
        <v>0</v>
      </c>
      <c r="T16" t="s">
        <v>179</v>
      </c>
    </row>
    <row r="17" spans="1:22" x14ac:dyDescent="0.3">
      <c r="A17" t="s">
        <v>185</v>
      </c>
      <c r="D17" s="56"/>
      <c r="E17" s="56"/>
      <c r="F17" s="56"/>
      <c r="G17" s="56"/>
      <c r="H17" s="56"/>
      <c r="I17" s="56"/>
      <c r="J17" s="56"/>
      <c r="K17" s="56"/>
      <c r="L17" s="56"/>
      <c r="M17" s="56"/>
      <c r="N17" s="56"/>
      <c r="O17" s="56"/>
      <c r="P17" s="56"/>
      <c r="Q17" s="50"/>
      <c r="S17" s="46">
        <f t="shared" si="0"/>
        <v>0</v>
      </c>
      <c r="T17" t="s">
        <v>179</v>
      </c>
      <c r="U17" t="s">
        <v>186</v>
      </c>
      <c r="V17" s="89">
        <f>SUM(S29:S33)+S48</f>
        <v>0</v>
      </c>
    </row>
    <row r="18" spans="1:22" x14ac:dyDescent="0.3">
      <c r="A18" t="s">
        <v>187</v>
      </c>
      <c r="D18" s="56"/>
      <c r="E18" s="56"/>
      <c r="F18" s="56"/>
      <c r="G18" s="56"/>
      <c r="H18" s="56"/>
      <c r="I18" s="56"/>
      <c r="J18" s="56"/>
      <c r="K18" s="56"/>
      <c r="L18" s="56"/>
      <c r="M18" s="56"/>
      <c r="N18" s="56"/>
      <c r="O18" s="56"/>
      <c r="P18" s="56"/>
      <c r="Q18" s="50"/>
      <c r="S18" s="46">
        <f t="shared" si="0"/>
        <v>0</v>
      </c>
      <c r="T18" t="s">
        <v>188</v>
      </c>
      <c r="V18" s="29"/>
    </row>
    <row r="19" spans="1:22" x14ac:dyDescent="0.3">
      <c r="A19" t="s">
        <v>189</v>
      </c>
      <c r="D19" s="56"/>
      <c r="E19" s="56"/>
      <c r="F19" s="56"/>
      <c r="G19" s="56"/>
      <c r="H19" s="56"/>
      <c r="I19" s="56"/>
      <c r="J19" s="56"/>
      <c r="K19" s="56"/>
      <c r="L19" s="56"/>
      <c r="M19" s="56"/>
      <c r="N19" s="56"/>
      <c r="O19" s="56"/>
      <c r="P19" s="56"/>
      <c r="Q19" s="50"/>
      <c r="S19" s="46">
        <f t="shared" si="0"/>
        <v>0</v>
      </c>
      <c r="T19" t="s">
        <v>179</v>
      </c>
    </row>
    <row r="20" spans="1:22" x14ac:dyDescent="0.3">
      <c r="A20" t="s">
        <v>190</v>
      </c>
      <c r="D20" s="56"/>
      <c r="E20" s="56"/>
      <c r="F20" s="56"/>
      <c r="G20" s="56"/>
      <c r="H20" s="56"/>
      <c r="I20" s="56"/>
      <c r="J20" s="56"/>
      <c r="K20" s="56"/>
      <c r="L20" s="56"/>
      <c r="M20" s="56"/>
      <c r="N20" s="56"/>
      <c r="O20" s="56"/>
      <c r="P20" s="56"/>
      <c r="Q20" s="50"/>
      <c r="S20" s="46">
        <f t="shared" si="0"/>
        <v>0</v>
      </c>
      <c r="T20" t="s">
        <v>179</v>
      </c>
      <c r="U20" t="s">
        <v>191</v>
      </c>
      <c r="V20" s="89">
        <f>SUM(S19:S23)</f>
        <v>0</v>
      </c>
    </row>
    <row r="21" spans="1:22" x14ac:dyDescent="0.3">
      <c r="A21" t="s">
        <v>192</v>
      </c>
      <c r="D21" s="56"/>
      <c r="E21" s="56"/>
      <c r="F21" s="56"/>
      <c r="G21" s="56"/>
      <c r="H21" s="56"/>
      <c r="I21" s="56"/>
      <c r="J21" s="56"/>
      <c r="K21" s="56"/>
      <c r="L21" s="56"/>
      <c r="M21" s="56"/>
      <c r="N21" s="56"/>
      <c r="O21" s="56"/>
      <c r="P21" s="56"/>
      <c r="Q21" s="50"/>
      <c r="S21" s="46">
        <f t="shared" si="0"/>
        <v>0</v>
      </c>
      <c r="T21" t="s">
        <v>179</v>
      </c>
    </row>
    <row r="22" spans="1:22" x14ac:dyDescent="0.3">
      <c r="A22" t="s">
        <v>193</v>
      </c>
      <c r="D22" s="56"/>
      <c r="E22" s="56"/>
      <c r="F22" s="56"/>
      <c r="G22" s="56"/>
      <c r="H22" s="56"/>
      <c r="I22" s="56"/>
      <c r="J22" s="56"/>
      <c r="K22" s="56"/>
      <c r="L22" s="56"/>
      <c r="M22" s="56"/>
      <c r="N22" s="56"/>
      <c r="O22" s="56"/>
      <c r="P22" s="56"/>
      <c r="Q22" s="50"/>
      <c r="S22" s="46">
        <f t="shared" si="0"/>
        <v>0</v>
      </c>
      <c r="T22" t="s">
        <v>179</v>
      </c>
    </row>
    <row r="23" spans="1:22" x14ac:dyDescent="0.3">
      <c r="A23" t="s">
        <v>194</v>
      </c>
      <c r="D23" s="56"/>
      <c r="E23" s="56"/>
      <c r="F23" s="56"/>
      <c r="G23" s="56"/>
      <c r="H23" s="56"/>
      <c r="I23" s="56"/>
      <c r="J23" s="56"/>
      <c r="K23" s="56"/>
      <c r="L23" s="56"/>
      <c r="M23" s="56"/>
      <c r="N23" s="56"/>
      <c r="O23" s="56"/>
      <c r="P23" s="56"/>
      <c r="Q23" s="50"/>
      <c r="S23" s="46">
        <f t="shared" si="0"/>
        <v>0</v>
      </c>
      <c r="T23" t="s">
        <v>179</v>
      </c>
    </row>
    <row r="24" spans="1:22" x14ac:dyDescent="0.3">
      <c r="A24" t="s">
        <v>195</v>
      </c>
      <c r="D24" s="56"/>
      <c r="E24" s="56"/>
      <c r="F24" s="56"/>
      <c r="G24" s="56"/>
      <c r="H24" s="56"/>
      <c r="I24" s="56"/>
      <c r="J24" s="56"/>
      <c r="K24" s="56"/>
      <c r="L24" s="56"/>
      <c r="M24" s="56"/>
      <c r="N24" s="56"/>
      <c r="O24" s="56"/>
      <c r="P24" s="46">
        <f>'Schedule E -K-1 Summary'!O63</f>
        <v>0</v>
      </c>
      <c r="Q24" s="50"/>
      <c r="S24" s="46">
        <f t="shared" si="0"/>
        <v>0</v>
      </c>
      <c r="T24" t="s">
        <v>179</v>
      </c>
    </row>
    <row r="25" spans="1:22" x14ac:dyDescent="0.3">
      <c r="A25" t="s">
        <v>196</v>
      </c>
      <c r="D25" s="56"/>
      <c r="E25" s="56"/>
      <c r="F25" s="56"/>
      <c r="G25" s="56"/>
      <c r="H25" s="56"/>
      <c r="I25" s="56"/>
      <c r="J25" s="56"/>
      <c r="K25" s="56"/>
      <c r="L25" s="56"/>
      <c r="M25" s="56"/>
      <c r="N25" s="56"/>
      <c r="O25" s="56"/>
      <c r="P25" s="56"/>
      <c r="Q25" s="50"/>
      <c r="S25" s="46">
        <f t="shared" si="0"/>
        <v>0</v>
      </c>
      <c r="T25" t="s">
        <v>179</v>
      </c>
    </row>
    <row r="26" spans="1:22" x14ac:dyDescent="0.3">
      <c r="A26" t="s">
        <v>197</v>
      </c>
      <c r="D26" s="56"/>
      <c r="E26" s="56"/>
      <c r="F26" s="56"/>
      <c r="G26" s="56"/>
      <c r="H26" s="56"/>
      <c r="I26" s="56"/>
      <c r="J26" s="56"/>
      <c r="K26" s="56"/>
      <c r="L26" s="56"/>
      <c r="M26" s="56"/>
      <c r="N26" s="56"/>
      <c r="O26" s="56"/>
      <c r="P26" s="56"/>
      <c r="Q26" s="50"/>
      <c r="S26" s="46">
        <f t="shared" si="0"/>
        <v>0</v>
      </c>
      <c r="T26" t="s">
        <v>179</v>
      </c>
    </row>
    <row r="27" spans="1:22" x14ac:dyDescent="0.3">
      <c r="A27" t="s">
        <v>198</v>
      </c>
      <c r="D27" s="56"/>
      <c r="E27" s="56"/>
      <c r="F27" s="56"/>
      <c r="G27" s="56"/>
      <c r="H27" s="56"/>
      <c r="I27" s="56"/>
      <c r="J27" s="56"/>
      <c r="K27" s="56"/>
      <c r="L27" s="56"/>
      <c r="M27" s="56"/>
      <c r="N27" s="56"/>
      <c r="O27" s="56"/>
      <c r="P27" s="56"/>
      <c r="Q27" s="50"/>
      <c r="S27" s="46">
        <f t="shared" si="0"/>
        <v>0</v>
      </c>
      <c r="T27" t="s">
        <v>179</v>
      </c>
    </row>
    <row r="28" spans="1:22" x14ac:dyDescent="0.3">
      <c r="A28" t="s">
        <v>199</v>
      </c>
      <c r="D28" s="56"/>
      <c r="E28" s="56"/>
      <c r="F28" s="56"/>
      <c r="G28" s="56"/>
      <c r="H28" s="56"/>
      <c r="I28" s="56"/>
      <c r="J28" s="56"/>
      <c r="K28" s="56"/>
      <c r="L28" s="56"/>
      <c r="M28" s="56"/>
      <c r="N28" s="56"/>
      <c r="O28" s="56"/>
      <c r="P28" s="56"/>
      <c r="Q28" s="50"/>
      <c r="S28" s="46">
        <f t="shared" si="0"/>
        <v>0</v>
      </c>
      <c r="T28" t="s">
        <v>179</v>
      </c>
    </row>
    <row r="29" spans="1:22" x14ac:dyDescent="0.3">
      <c r="A29" t="s">
        <v>200</v>
      </c>
      <c r="D29" s="56"/>
      <c r="E29" s="56"/>
      <c r="F29" s="56"/>
      <c r="G29" s="56"/>
      <c r="H29" s="56"/>
      <c r="I29" s="56"/>
      <c r="J29" s="56"/>
      <c r="K29" s="56"/>
      <c r="L29" s="56"/>
      <c r="M29" s="56"/>
      <c r="N29" s="56"/>
      <c r="O29" s="56"/>
      <c r="P29" s="56"/>
      <c r="Q29" s="50"/>
      <c r="S29" s="46">
        <f t="shared" si="0"/>
        <v>0</v>
      </c>
      <c r="T29" t="s">
        <v>201</v>
      </c>
    </row>
    <row r="30" spans="1:22" x14ac:dyDescent="0.3">
      <c r="A30" t="s">
        <v>202</v>
      </c>
      <c r="D30" s="56"/>
      <c r="E30" s="56"/>
      <c r="F30" s="56"/>
      <c r="G30" s="56"/>
      <c r="H30" s="56"/>
      <c r="I30" s="56"/>
      <c r="J30" s="56"/>
      <c r="K30" s="56"/>
      <c r="L30" s="56"/>
      <c r="M30" s="56"/>
      <c r="N30" s="56"/>
      <c r="O30" s="56"/>
      <c r="P30" s="56"/>
      <c r="Q30" s="50"/>
      <c r="S30" s="46">
        <f t="shared" si="0"/>
        <v>0</v>
      </c>
      <c r="T30" t="s">
        <v>201</v>
      </c>
    </row>
    <row r="31" spans="1:22" x14ac:dyDescent="0.3">
      <c r="A31" t="s">
        <v>203</v>
      </c>
      <c r="D31" s="56"/>
      <c r="E31" s="56"/>
      <c r="F31" s="56"/>
      <c r="G31" s="56"/>
      <c r="H31" s="56"/>
      <c r="I31" s="56"/>
      <c r="J31" s="56"/>
      <c r="K31" s="56"/>
      <c r="L31" s="56"/>
      <c r="M31" s="56"/>
      <c r="N31" s="56"/>
      <c r="O31" s="56"/>
      <c r="P31" s="56"/>
      <c r="Q31" s="50"/>
      <c r="S31" s="46">
        <f t="shared" si="0"/>
        <v>0</v>
      </c>
      <c r="T31" t="s">
        <v>201</v>
      </c>
    </row>
    <row r="32" spans="1:22" x14ac:dyDescent="0.3">
      <c r="A32" t="s">
        <v>204</v>
      </c>
      <c r="D32" s="56"/>
      <c r="E32" s="56"/>
      <c r="F32" s="56"/>
      <c r="G32" s="56"/>
      <c r="H32" s="56"/>
      <c r="I32" s="56"/>
      <c r="J32" s="56"/>
      <c r="K32" s="56"/>
      <c r="L32" s="56"/>
      <c r="M32" s="56"/>
      <c r="N32" s="56"/>
      <c r="O32" s="56"/>
      <c r="P32" s="56"/>
      <c r="Q32" s="50"/>
      <c r="S32" s="46">
        <f t="shared" si="0"/>
        <v>0</v>
      </c>
      <c r="T32" t="s">
        <v>201</v>
      </c>
    </row>
    <row r="33" spans="1:23" x14ac:dyDescent="0.3">
      <c r="A33" t="s">
        <v>205</v>
      </c>
      <c r="D33" s="56"/>
      <c r="E33" s="56"/>
      <c r="F33" s="56"/>
      <c r="G33" s="56"/>
      <c r="H33" s="56"/>
      <c r="I33" s="56"/>
      <c r="J33" s="56"/>
      <c r="K33" s="56"/>
      <c r="L33" s="56"/>
      <c r="M33" s="56"/>
      <c r="N33" s="56"/>
      <c r="O33" s="56"/>
      <c r="P33" s="56"/>
      <c r="Q33" s="50"/>
      <c r="S33" s="46">
        <f t="shared" si="0"/>
        <v>0</v>
      </c>
      <c r="T33" t="s">
        <v>201</v>
      </c>
    </row>
    <row r="34" spans="1:23" x14ac:dyDescent="0.3">
      <c r="D34" s="1"/>
      <c r="E34" s="1"/>
      <c r="F34" s="1"/>
      <c r="G34" s="1"/>
      <c r="H34" s="1"/>
      <c r="I34" s="1"/>
      <c r="J34" s="1"/>
      <c r="K34" s="1"/>
      <c r="L34" s="1"/>
      <c r="M34" s="1"/>
      <c r="N34" s="1"/>
      <c r="O34" s="1"/>
      <c r="P34" s="1"/>
      <c r="Q34" s="1"/>
      <c r="S34" s="29"/>
    </row>
    <row r="35" spans="1:23" x14ac:dyDescent="0.3">
      <c r="A35" t="s">
        <v>206</v>
      </c>
      <c r="D35" s="56"/>
      <c r="E35" s="56"/>
      <c r="F35" s="56"/>
      <c r="G35" s="56"/>
      <c r="H35" s="56"/>
      <c r="I35" s="56"/>
      <c r="J35" s="56"/>
      <c r="K35" s="56"/>
      <c r="L35" s="56"/>
      <c r="M35" s="56"/>
      <c r="N35" s="56"/>
      <c r="O35" s="56"/>
      <c r="P35" s="46">
        <f>'Schedule E -K-1 Summary'!O22</f>
        <v>0</v>
      </c>
      <c r="Q35" s="50"/>
      <c r="S35" s="46">
        <f t="shared" ref="S35:S48" si="1">SUM(D35:Q35)</f>
        <v>0</v>
      </c>
      <c r="T35" t="s">
        <v>179</v>
      </c>
    </row>
    <row r="36" spans="1:23" x14ac:dyDescent="0.3">
      <c r="A36" t="s">
        <v>207</v>
      </c>
      <c r="D36" s="56"/>
      <c r="E36" s="56"/>
      <c r="F36" s="56"/>
      <c r="G36" s="56"/>
      <c r="H36" s="56"/>
      <c r="I36" s="56"/>
      <c r="J36" s="56"/>
      <c r="K36" s="56"/>
      <c r="L36" s="56"/>
      <c r="M36" s="56"/>
      <c r="N36" s="56"/>
      <c r="O36" s="56"/>
      <c r="P36" s="46">
        <f>'Schedule E -K-1 Summary'!O23</f>
        <v>0</v>
      </c>
      <c r="Q36" s="50"/>
      <c r="S36" s="46">
        <f t="shared" si="1"/>
        <v>0</v>
      </c>
      <c r="T36" t="s">
        <v>208</v>
      </c>
    </row>
    <row r="37" spans="1:23" x14ac:dyDescent="0.3">
      <c r="A37" t="s">
        <v>209</v>
      </c>
      <c r="D37" s="56"/>
      <c r="E37" s="56"/>
      <c r="F37" s="56"/>
      <c r="G37" s="56"/>
      <c r="H37" s="56"/>
      <c r="I37" s="56"/>
      <c r="J37" s="56"/>
      <c r="K37" s="56"/>
      <c r="L37" s="56"/>
      <c r="M37" s="56"/>
      <c r="N37" s="56"/>
      <c r="O37" s="56"/>
      <c r="P37" s="56"/>
      <c r="Q37" s="50"/>
      <c r="S37" s="46">
        <f t="shared" si="1"/>
        <v>0</v>
      </c>
      <c r="T37" t="s">
        <v>210</v>
      </c>
    </row>
    <row r="38" spans="1:23" x14ac:dyDescent="0.3">
      <c r="A38" t="s">
        <v>211</v>
      </c>
      <c r="D38" s="56"/>
      <c r="E38" s="56"/>
      <c r="F38" s="56"/>
      <c r="G38" s="56"/>
      <c r="H38" s="56"/>
      <c r="I38" s="56"/>
      <c r="J38" s="56"/>
      <c r="K38" s="56"/>
      <c r="L38" s="56"/>
      <c r="M38" s="56"/>
      <c r="N38" s="56"/>
      <c r="O38" s="56"/>
      <c r="P38" s="56"/>
      <c r="Q38" s="50"/>
      <c r="S38" s="46">
        <f t="shared" si="1"/>
        <v>0</v>
      </c>
    </row>
    <row r="39" spans="1:23" x14ac:dyDescent="0.3">
      <c r="A39" t="s">
        <v>212</v>
      </c>
      <c r="D39" s="56"/>
      <c r="E39" s="56"/>
      <c r="F39" s="56"/>
      <c r="G39" s="56"/>
      <c r="H39" s="56"/>
      <c r="I39" s="56"/>
      <c r="J39" s="56"/>
      <c r="K39" s="56"/>
      <c r="L39" s="56"/>
      <c r="M39" s="56"/>
      <c r="N39" s="56"/>
      <c r="O39" s="56"/>
      <c r="P39" s="56"/>
      <c r="Q39" s="50"/>
      <c r="S39" s="46">
        <f t="shared" si="1"/>
        <v>0</v>
      </c>
    </row>
    <row r="40" spans="1:23" x14ac:dyDescent="0.3">
      <c r="A40" t="s">
        <v>213</v>
      </c>
      <c r="D40" s="56"/>
      <c r="E40" s="56"/>
      <c r="F40" s="56"/>
      <c r="G40" s="56"/>
      <c r="H40" s="56"/>
      <c r="I40" s="56"/>
      <c r="J40" s="56"/>
      <c r="K40" s="56"/>
      <c r="L40" s="56"/>
      <c r="M40" s="56"/>
      <c r="N40" s="56"/>
      <c r="O40" s="56"/>
      <c r="P40" s="56"/>
      <c r="Q40" s="50"/>
      <c r="S40" s="46">
        <f t="shared" si="1"/>
        <v>0</v>
      </c>
      <c r="T40" t="s">
        <v>210</v>
      </c>
    </row>
    <row r="41" spans="1:23" x14ac:dyDescent="0.3">
      <c r="A41" t="s">
        <v>214</v>
      </c>
      <c r="D41" s="56"/>
      <c r="E41" s="56"/>
      <c r="F41" s="56"/>
      <c r="G41" s="56"/>
      <c r="H41" s="56"/>
      <c r="I41" s="56"/>
      <c r="J41" s="56"/>
      <c r="K41" s="56"/>
      <c r="L41" s="56"/>
      <c r="M41" s="56"/>
      <c r="N41" s="56"/>
      <c r="O41" s="56"/>
      <c r="P41" s="56"/>
      <c r="Q41" s="50"/>
      <c r="S41" s="46">
        <f t="shared" si="1"/>
        <v>0</v>
      </c>
      <c r="T41" t="s">
        <v>215</v>
      </c>
      <c r="U41" s="32">
        <v>0.2</v>
      </c>
      <c r="V41" s="46">
        <f>S41*U41</f>
        <v>0</v>
      </c>
      <c r="W41" t="s">
        <v>216</v>
      </c>
    </row>
    <row r="42" spans="1:23" ht="15" customHeight="1" x14ac:dyDescent="0.3">
      <c r="A42" t="s">
        <v>217</v>
      </c>
      <c r="D42" s="56"/>
      <c r="E42" s="56"/>
      <c r="F42" s="56"/>
      <c r="G42" s="56"/>
      <c r="H42" s="56"/>
      <c r="I42" s="56"/>
      <c r="J42" s="56"/>
      <c r="K42" s="56"/>
      <c r="L42" s="56"/>
      <c r="M42" s="56"/>
      <c r="N42" s="56"/>
      <c r="O42" s="56"/>
      <c r="P42" s="136">
        <f>'Schedule E -K-1 Summary'!O56</f>
        <v>0</v>
      </c>
      <c r="Q42" s="50"/>
      <c r="S42" s="46">
        <f t="shared" si="1"/>
        <v>0</v>
      </c>
      <c r="T42" t="s">
        <v>218</v>
      </c>
      <c r="U42" s="32"/>
      <c r="V42" s="29"/>
    </row>
    <row r="43" spans="1:23" x14ac:dyDescent="0.3">
      <c r="A43" t="s">
        <v>219</v>
      </c>
      <c r="D43" s="56"/>
      <c r="E43" s="56"/>
      <c r="F43" s="56"/>
      <c r="G43" s="56"/>
      <c r="H43" s="56"/>
      <c r="I43" s="56"/>
      <c r="J43" s="56"/>
      <c r="K43" s="56"/>
      <c r="L43" s="56"/>
      <c r="M43" s="56"/>
      <c r="N43" s="56"/>
      <c r="O43" s="56"/>
      <c r="P43" s="56"/>
      <c r="Q43" s="50"/>
      <c r="S43" s="46">
        <f t="shared" si="1"/>
        <v>0</v>
      </c>
      <c r="T43" t="s">
        <v>218</v>
      </c>
      <c r="U43" s="32"/>
      <c r="V43" s="29"/>
    </row>
    <row r="44" spans="1:23" x14ac:dyDescent="0.3">
      <c r="A44" t="s">
        <v>220</v>
      </c>
      <c r="D44" s="56"/>
      <c r="E44" s="56"/>
      <c r="F44" s="56"/>
      <c r="G44" s="56"/>
      <c r="H44" s="56"/>
      <c r="I44" s="56"/>
      <c r="J44" s="56"/>
      <c r="K44" s="56"/>
      <c r="L44" s="56"/>
      <c r="M44" s="56"/>
      <c r="N44" s="56"/>
      <c r="O44" s="56"/>
      <c r="P44" s="56"/>
      <c r="Q44" s="50"/>
      <c r="S44" s="46">
        <f t="shared" si="1"/>
        <v>0</v>
      </c>
      <c r="U44" s="32"/>
      <c r="V44" s="29"/>
    </row>
    <row r="45" spans="1:23" ht="14.25" customHeight="1" x14ac:dyDescent="0.3">
      <c r="A45" t="s">
        <v>221</v>
      </c>
      <c r="D45" s="56"/>
      <c r="E45" s="56"/>
      <c r="F45" s="56"/>
      <c r="G45" s="56"/>
      <c r="H45" s="56"/>
      <c r="I45" s="56"/>
      <c r="J45" s="56"/>
      <c r="K45" s="56"/>
      <c r="L45" s="56"/>
      <c r="M45" s="56"/>
      <c r="N45" s="56"/>
      <c r="O45" s="56"/>
      <c r="P45" s="56"/>
      <c r="Q45" s="50"/>
      <c r="S45" s="46">
        <f t="shared" si="1"/>
        <v>0</v>
      </c>
    </row>
    <row r="46" spans="1:23" x14ac:dyDescent="0.3">
      <c r="A46" t="s">
        <v>222</v>
      </c>
      <c r="D46" s="56"/>
      <c r="E46" s="56"/>
      <c r="F46" s="56"/>
      <c r="G46" s="56"/>
      <c r="H46" s="56"/>
      <c r="I46" s="56"/>
      <c r="J46" s="56"/>
      <c r="K46" s="56"/>
      <c r="L46" s="56"/>
      <c r="M46" s="56"/>
      <c r="N46" s="56"/>
      <c r="O46" s="56"/>
      <c r="P46" s="56"/>
      <c r="Q46" s="50"/>
      <c r="S46" s="46">
        <f t="shared" si="1"/>
        <v>0</v>
      </c>
    </row>
    <row r="47" spans="1:23" x14ac:dyDescent="0.3">
      <c r="A47" t="s">
        <v>223</v>
      </c>
      <c r="D47" s="56"/>
      <c r="E47" s="56"/>
      <c r="F47" s="56"/>
      <c r="G47" s="56"/>
      <c r="H47" s="56"/>
      <c r="I47" s="56"/>
      <c r="J47" s="56"/>
      <c r="K47" s="56"/>
      <c r="L47" s="56"/>
      <c r="M47" s="56"/>
      <c r="N47" s="56"/>
      <c r="O47" s="56"/>
      <c r="P47" s="56"/>
      <c r="Q47" s="50"/>
      <c r="S47" s="46">
        <f t="shared" si="1"/>
        <v>0</v>
      </c>
      <c r="T47" t="s">
        <v>179</v>
      </c>
    </row>
    <row r="48" spans="1:23" x14ac:dyDescent="0.3">
      <c r="A48" t="s">
        <v>224</v>
      </c>
      <c r="D48" s="56"/>
      <c r="E48" s="56"/>
      <c r="F48" s="56"/>
      <c r="G48" s="56"/>
      <c r="H48" s="56"/>
      <c r="I48" s="56"/>
      <c r="J48" s="56"/>
      <c r="K48" s="56"/>
      <c r="L48" s="56"/>
      <c r="M48" s="56"/>
      <c r="N48" s="56"/>
      <c r="O48" s="56"/>
      <c r="P48" s="56"/>
      <c r="Q48" s="50"/>
      <c r="S48" s="46">
        <f t="shared" si="1"/>
        <v>0</v>
      </c>
      <c r="T48" t="s">
        <v>201</v>
      </c>
    </row>
    <row r="49" spans="1:20" x14ac:dyDescent="0.3">
      <c r="D49" s="1"/>
      <c r="E49" s="1"/>
      <c r="F49" s="1"/>
      <c r="G49" s="1"/>
      <c r="H49" s="1"/>
      <c r="I49" s="1"/>
      <c r="J49" s="1"/>
      <c r="K49" s="1"/>
      <c r="L49" s="1"/>
      <c r="M49" s="1"/>
      <c r="N49" s="1"/>
      <c r="O49" s="1"/>
      <c r="P49" s="1"/>
      <c r="Q49" s="1"/>
      <c r="S49" s="29"/>
    </row>
    <row r="50" spans="1:20" x14ac:dyDescent="0.3">
      <c r="A50" t="s">
        <v>225</v>
      </c>
      <c r="D50" s="1"/>
      <c r="E50" s="1"/>
      <c r="F50" s="1"/>
      <c r="G50" s="1"/>
      <c r="H50" s="1"/>
      <c r="I50" s="1"/>
      <c r="J50" s="1"/>
      <c r="K50" s="1"/>
      <c r="L50" s="1"/>
      <c r="M50" s="1"/>
      <c r="N50" s="1"/>
      <c r="O50" s="1"/>
      <c r="P50" s="1"/>
      <c r="Q50" s="1"/>
      <c r="S50" s="29"/>
    </row>
    <row r="51" spans="1:20" x14ac:dyDescent="0.3">
      <c r="B51" t="s">
        <v>226</v>
      </c>
      <c r="D51" s="219"/>
      <c r="E51" s="219"/>
      <c r="F51" s="219"/>
      <c r="G51" s="219"/>
      <c r="H51" s="219"/>
      <c r="I51" s="219"/>
      <c r="J51" s="219"/>
      <c r="K51" s="219"/>
      <c r="L51" s="219"/>
      <c r="M51" s="219"/>
      <c r="N51" s="219"/>
      <c r="O51" s="219"/>
      <c r="P51" s="56"/>
      <c r="Q51" s="1"/>
      <c r="S51" s="222" t="s">
        <v>227</v>
      </c>
    </row>
    <row r="52" spans="1:20" x14ac:dyDescent="0.3">
      <c r="B52" t="s">
        <v>228</v>
      </c>
      <c r="D52" s="226"/>
      <c r="E52" s="226"/>
      <c r="F52" s="218"/>
      <c r="G52" s="218"/>
      <c r="H52" s="218"/>
      <c r="I52" s="226"/>
      <c r="J52" s="218"/>
      <c r="K52" s="218"/>
      <c r="L52" s="218"/>
      <c r="M52" s="218"/>
      <c r="N52" s="218"/>
      <c r="O52" s="218"/>
      <c r="P52" s="56"/>
      <c r="Q52" s="1"/>
      <c r="S52" s="223">
        <v>45657</v>
      </c>
    </row>
    <row r="53" spans="1:20" ht="7.95" customHeight="1" x14ac:dyDescent="0.3">
      <c r="D53" s="217"/>
      <c r="E53" s="217"/>
      <c r="F53" s="217"/>
      <c r="G53" s="217"/>
      <c r="H53" s="217"/>
      <c r="I53" s="217"/>
      <c r="J53" s="217"/>
      <c r="K53" s="217"/>
      <c r="L53" s="217"/>
      <c r="M53" s="217"/>
      <c r="N53" s="217"/>
      <c r="O53" s="217"/>
      <c r="P53" s="217"/>
      <c r="Q53" s="1"/>
      <c r="S53" s="29"/>
    </row>
    <row r="54" spans="1:20" x14ac:dyDescent="0.3">
      <c r="B54" t="s">
        <v>229</v>
      </c>
      <c r="D54" s="219"/>
      <c r="E54" s="56"/>
      <c r="F54" s="56"/>
      <c r="G54" s="56"/>
      <c r="H54" s="56"/>
      <c r="I54" s="219"/>
      <c r="J54" s="56"/>
      <c r="K54" s="56"/>
      <c r="L54" s="56"/>
      <c r="M54" s="56"/>
      <c r="N54" s="56"/>
      <c r="O54" s="56"/>
      <c r="P54" s="56"/>
      <c r="Q54" s="1"/>
      <c r="S54" s="46">
        <f>SUM(D54:Q54)</f>
        <v>0</v>
      </c>
      <c r="T54" t="s">
        <v>230</v>
      </c>
    </row>
    <row r="55" spans="1:20" x14ac:dyDescent="0.3">
      <c r="B55" t="s">
        <v>231</v>
      </c>
      <c r="D55" s="219"/>
      <c r="E55" s="56"/>
      <c r="F55" s="56"/>
      <c r="G55" s="56"/>
      <c r="H55" s="56"/>
      <c r="I55" s="219"/>
      <c r="J55" s="56"/>
      <c r="K55" s="56"/>
      <c r="L55" s="56"/>
      <c r="M55" s="56"/>
      <c r="N55" s="56"/>
      <c r="O55" s="56"/>
      <c r="P55" s="56"/>
      <c r="Q55" s="1"/>
      <c r="S55" s="46">
        <f>SUM(D55:Q55)</f>
        <v>0</v>
      </c>
      <c r="T55" t="s">
        <v>230</v>
      </c>
    </row>
    <row r="56" spans="1:20" x14ac:dyDescent="0.3">
      <c r="B56" t="s">
        <v>232</v>
      </c>
      <c r="D56" s="46"/>
      <c r="E56" s="46"/>
      <c r="F56" s="46"/>
      <c r="G56" s="46"/>
      <c r="H56" s="46"/>
      <c r="I56" s="46"/>
      <c r="J56" s="46"/>
      <c r="K56" s="46"/>
      <c r="L56" s="46">
        <f t="shared" ref="E56:P56" si="2">L54-L55</f>
        <v>0</v>
      </c>
      <c r="M56" s="46">
        <f t="shared" si="2"/>
        <v>0</v>
      </c>
      <c r="N56" s="46">
        <f t="shared" si="2"/>
        <v>0</v>
      </c>
      <c r="O56" s="46">
        <f t="shared" si="2"/>
        <v>0</v>
      </c>
      <c r="P56" s="46">
        <f t="shared" si="2"/>
        <v>0</v>
      </c>
      <c r="Q56" s="1"/>
      <c r="S56" s="46">
        <f>SUM(D56:Q56)</f>
        <v>0</v>
      </c>
      <c r="T56" t="s">
        <v>230</v>
      </c>
    </row>
    <row r="57" spans="1:20" x14ac:dyDescent="0.3">
      <c r="D57" s="29"/>
      <c r="E57" s="29"/>
      <c r="F57" s="29"/>
      <c r="G57" s="29"/>
      <c r="H57" s="29"/>
      <c r="I57" s="29"/>
      <c r="J57" s="29"/>
      <c r="K57" s="29"/>
      <c r="L57" s="29"/>
      <c r="M57" s="29"/>
      <c r="N57" s="29"/>
      <c r="O57" s="29"/>
      <c r="P57" s="29"/>
      <c r="Q57" s="1"/>
      <c r="S57" s="29"/>
    </row>
    <row r="58" spans="1:20" x14ac:dyDescent="0.3">
      <c r="A58" t="s">
        <v>233</v>
      </c>
      <c r="D58" s="1"/>
      <c r="E58" s="1"/>
      <c r="F58" s="1"/>
      <c r="G58" s="1"/>
      <c r="H58" s="1"/>
      <c r="I58" s="1"/>
      <c r="J58" s="1"/>
      <c r="K58" s="1"/>
      <c r="L58" s="1"/>
      <c r="M58" s="1"/>
      <c r="N58" s="1"/>
      <c r="O58" s="1"/>
      <c r="P58" s="1"/>
      <c r="Q58" s="1"/>
      <c r="S58" s="29"/>
    </row>
    <row r="59" spans="1:20" x14ac:dyDescent="0.3">
      <c r="B59" t="s">
        <v>226</v>
      </c>
      <c r="D59" s="226"/>
      <c r="E59" s="219"/>
      <c r="F59" s="219"/>
      <c r="G59" s="56"/>
      <c r="H59" s="56"/>
      <c r="I59" s="219"/>
      <c r="J59" s="56"/>
      <c r="K59" s="56"/>
      <c r="L59" s="56"/>
      <c r="M59" s="56"/>
      <c r="N59" s="56"/>
      <c r="O59" s="56"/>
      <c r="P59" s="56"/>
      <c r="Q59" s="1"/>
      <c r="S59" s="29"/>
    </row>
    <row r="60" spans="1:20" x14ac:dyDescent="0.3">
      <c r="B60" t="s">
        <v>228</v>
      </c>
      <c r="D60" s="226"/>
      <c r="E60" s="226"/>
      <c r="F60" s="226"/>
      <c r="G60" s="56"/>
      <c r="H60" s="56"/>
      <c r="I60" s="226"/>
      <c r="J60" s="56"/>
      <c r="K60" s="56"/>
      <c r="L60" s="56"/>
      <c r="M60" s="56"/>
      <c r="N60" s="56"/>
      <c r="O60" s="56"/>
      <c r="P60" s="56"/>
      <c r="Q60" s="1"/>
      <c r="S60" s="29"/>
    </row>
    <row r="61" spans="1:20" ht="7.95" customHeight="1" x14ac:dyDescent="0.3">
      <c r="D61" s="217"/>
      <c r="E61" s="217"/>
      <c r="F61" s="217"/>
      <c r="G61" s="217"/>
      <c r="H61" s="217"/>
      <c r="I61" s="217"/>
      <c r="J61" s="217"/>
      <c r="K61" s="217"/>
      <c r="L61" s="217"/>
      <c r="M61" s="217"/>
      <c r="N61" s="217"/>
      <c r="O61" s="217"/>
      <c r="P61" s="217"/>
      <c r="Q61" s="1"/>
      <c r="S61" s="29"/>
    </row>
    <row r="62" spans="1:20" x14ac:dyDescent="0.3">
      <c r="B62" t="s">
        <v>229</v>
      </c>
      <c r="D62" s="219"/>
      <c r="E62" s="56"/>
      <c r="F62" s="56"/>
      <c r="G62" s="56"/>
      <c r="H62" s="56"/>
      <c r="I62" s="219"/>
      <c r="J62" s="56"/>
      <c r="K62" s="56"/>
      <c r="L62" s="56"/>
      <c r="M62" s="56"/>
      <c r="N62" s="56"/>
      <c r="O62" s="56"/>
      <c r="P62" s="56"/>
      <c r="Q62" s="1"/>
      <c r="S62" s="46">
        <f>SUM(D62:Q62)</f>
        <v>0</v>
      </c>
      <c r="T62" t="s">
        <v>234</v>
      </c>
    </row>
    <row r="63" spans="1:20" x14ac:dyDescent="0.3">
      <c r="B63" t="s">
        <v>231</v>
      </c>
      <c r="D63" s="219"/>
      <c r="E63" s="56"/>
      <c r="F63" s="56"/>
      <c r="G63" s="56"/>
      <c r="H63" s="56"/>
      <c r="I63" s="219"/>
      <c r="J63" s="56"/>
      <c r="K63" s="56"/>
      <c r="L63" s="56"/>
      <c r="M63" s="56"/>
      <c r="N63" s="56"/>
      <c r="O63" s="56"/>
      <c r="P63" s="56"/>
      <c r="Q63" s="1"/>
      <c r="S63" s="46">
        <f>SUM(D63:Q63)</f>
        <v>0</v>
      </c>
      <c r="T63" t="s">
        <v>234</v>
      </c>
    </row>
    <row r="64" spans="1:20" x14ac:dyDescent="0.3">
      <c r="B64" t="s">
        <v>235</v>
      </c>
      <c r="D64" s="219"/>
      <c r="E64" s="56"/>
      <c r="F64" s="56"/>
      <c r="G64" s="56"/>
      <c r="H64" s="56"/>
      <c r="I64" s="56"/>
      <c r="J64" s="56"/>
      <c r="K64" s="56"/>
      <c r="L64" s="56"/>
      <c r="M64" s="56"/>
      <c r="N64" s="56"/>
      <c r="O64" s="56"/>
      <c r="P64" s="56"/>
      <c r="Q64" s="1"/>
      <c r="S64" s="46">
        <f>SUM(D64:Q64)</f>
        <v>0</v>
      </c>
      <c r="T64" t="s">
        <v>234</v>
      </c>
    </row>
    <row r="65" spans="1:20" x14ac:dyDescent="0.3">
      <c r="B65" t="s">
        <v>232</v>
      </c>
      <c r="D65" s="46"/>
      <c r="E65" s="46"/>
      <c r="F65" s="46"/>
      <c r="G65" s="46"/>
      <c r="H65" s="46"/>
      <c r="I65" s="46"/>
      <c r="J65" s="46"/>
      <c r="K65" s="46"/>
      <c r="L65" s="46">
        <f t="shared" ref="E65:P65" si="3">L62-L63+L64</f>
        <v>0</v>
      </c>
      <c r="M65" s="46">
        <f t="shared" si="3"/>
        <v>0</v>
      </c>
      <c r="N65" s="46">
        <f t="shared" si="3"/>
        <v>0</v>
      </c>
      <c r="O65" s="46">
        <f t="shared" si="3"/>
        <v>0</v>
      </c>
      <c r="P65" s="46">
        <f t="shared" si="3"/>
        <v>0</v>
      </c>
      <c r="Q65" s="1"/>
      <c r="S65" s="46">
        <f>SUM(D65:Q65)</f>
        <v>0</v>
      </c>
      <c r="T65" t="s">
        <v>234</v>
      </c>
    </row>
    <row r="66" spans="1:20" x14ac:dyDescent="0.3">
      <c r="D66" s="29"/>
      <c r="E66" s="29"/>
      <c r="F66" s="29"/>
      <c r="G66" s="29"/>
      <c r="H66" s="29"/>
      <c r="I66" s="29"/>
      <c r="J66" s="29"/>
      <c r="K66" s="29"/>
      <c r="L66" s="29"/>
      <c r="M66" s="29"/>
      <c r="N66" s="29"/>
      <c r="O66" s="29"/>
      <c r="P66" s="29"/>
      <c r="Q66" s="1"/>
      <c r="S66" s="29"/>
    </row>
    <row r="67" spans="1:20" x14ac:dyDescent="0.3">
      <c r="A67" t="s">
        <v>236</v>
      </c>
      <c r="D67" s="1"/>
      <c r="E67" s="1"/>
      <c r="F67" s="1"/>
      <c r="G67" s="1"/>
      <c r="H67" s="1"/>
      <c r="I67" s="1"/>
      <c r="J67" s="1"/>
      <c r="K67" s="1"/>
      <c r="L67" s="1"/>
      <c r="M67" s="1"/>
      <c r="N67" s="1"/>
      <c r="O67" s="1"/>
      <c r="P67" s="1"/>
      <c r="Q67" s="1"/>
      <c r="S67" s="29"/>
    </row>
    <row r="68" spans="1:20" x14ac:dyDescent="0.3">
      <c r="B68" t="s">
        <v>226</v>
      </c>
      <c r="D68" s="219"/>
      <c r="E68" s="56"/>
      <c r="F68" s="56"/>
      <c r="G68" s="56"/>
      <c r="H68" s="56"/>
      <c r="I68" s="56"/>
      <c r="J68" s="56"/>
      <c r="K68" s="56"/>
      <c r="L68" s="56"/>
      <c r="M68" s="56"/>
      <c r="N68" s="56"/>
      <c r="O68" s="56"/>
      <c r="P68" s="56"/>
      <c r="Q68" s="1"/>
      <c r="S68" s="29"/>
    </row>
    <row r="69" spans="1:20" x14ac:dyDescent="0.3">
      <c r="B69" t="s">
        <v>228</v>
      </c>
      <c r="D69" s="219"/>
      <c r="E69" s="56"/>
      <c r="F69" s="56"/>
      <c r="G69" s="56"/>
      <c r="H69" s="56"/>
      <c r="I69" s="56"/>
      <c r="J69" s="56"/>
      <c r="K69" s="56"/>
      <c r="L69" s="56"/>
      <c r="M69" s="56"/>
      <c r="N69" s="56"/>
      <c r="O69" s="56"/>
      <c r="P69" s="56"/>
      <c r="Q69" s="1"/>
      <c r="S69" s="29"/>
    </row>
    <row r="70" spans="1:20" ht="7.95" customHeight="1" x14ac:dyDescent="0.3">
      <c r="D70" s="217"/>
      <c r="E70" s="217"/>
      <c r="F70" s="217"/>
      <c r="G70" s="217"/>
      <c r="H70" s="217"/>
      <c r="I70" s="217"/>
      <c r="J70" s="217"/>
      <c r="K70" s="217"/>
      <c r="L70" s="217"/>
      <c r="M70" s="217"/>
      <c r="N70" s="217"/>
      <c r="O70" s="217"/>
      <c r="P70" s="217"/>
      <c r="Q70" s="1"/>
      <c r="S70" s="29"/>
    </row>
    <row r="71" spans="1:20" x14ac:dyDescent="0.3">
      <c r="B71" t="s">
        <v>229</v>
      </c>
      <c r="D71" s="219"/>
      <c r="E71" s="56"/>
      <c r="F71" s="56"/>
      <c r="G71" s="56"/>
      <c r="H71" s="56"/>
      <c r="I71" s="56"/>
      <c r="J71" s="56"/>
      <c r="K71" s="56"/>
      <c r="L71" s="56"/>
      <c r="M71" s="56"/>
      <c r="N71" s="56"/>
      <c r="O71" s="56"/>
      <c r="P71" s="56"/>
      <c r="Q71" s="1"/>
      <c r="S71" s="46">
        <f>SUM(D71:Q71)</f>
        <v>0</v>
      </c>
      <c r="T71" t="s">
        <v>237</v>
      </c>
    </row>
    <row r="72" spans="1:20" x14ac:dyDescent="0.3">
      <c r="B72" t="s">
        <v>231</v>
      </c>
      <c r="D72" s="219"/>
      <c r="E72" s="56"/>
      <c r="F72" s="56"/>
      <c r="G72" s="56"/>
      <c r="H72" s="56"/>
      <c r="I72" s="56"/>
      <c r="J72" s="56"/>
      <c r="K72" s="56"/>
      <c r="L72" s="56"/>
      <c r="M72" s="56"/>
      <c r="N72" s="56"/>
      <c r="O72" s="56"/>
      <c r="P72" s="56"/>
      <c r="Q72" s="1"/>
      <c r="S72" s="46">
        <f>SUM(D72:Q72)</f>
        <v>0</v>
      </c>
      <c r="T72" t="s">
        <v>237</v>
      </c>
    </row>
    <row r="73" spans="1:20" x14ac:dyDescent="0.3">
      <c r="B73" t="s">
        <v>235</v>
      </c>
      <c r="D73" s="56"/>
      <c r="E73" s="56"/>
      <c r="F73" s="56"/>
      <c r="G73" s="56"/>
      <c r="H73" s="56"/>
      <c r="I73" s="56"/>
      <c r="J73" s="56"/>
      <c r="K73" s="56"/>
      <c r="L73" s="56"/>
      <c r="M73" s="56"/>
      <c r="N73" s="56"/>
      <c r="O73" s="56"/>
      <c r="P73" s="56"/>
      <c r="Q73" s="1"/>
      <c r="S73" s="46">
        <f>SUM(D73:Q73)</f>
        <v>0</v>
      </c>
      <c r="T73" t="s">
        <v>237</v>
      </c>
    </row>
    <row r="74" spans="1:20" x14ac:dyDescent="0.3">
      <c r="B74" t="s">
        <v>232</v>
      </c>
      <c r="D74" s="46"/>
      <c r="E74" s="46"/>
      <c r="F74" s="46"/>
      <c r="G74" s="46"/>
      <c r="H74" s="46"/>
      <c r="I74" s="46"/>
      <c r="J74" s="46"/>
      <c r="K74" s="46"/>
      <c r="L74" s="46">
        <f t="shared" ref="E74:P74" si="4">L71-L72+L73</f>
        <v>0</v>
      </c>
      <c r="M74" s="46">
        <f t="shared" si="4"/>
        <v>0</v>
      </c>
      <c r="N74" s="46">
        <f t="shared" si="4"/>
        <v>0</v>
      </c>
      <c r="O74" s="46">
        <f t="shared" si="4"/>
        <v>0</v>
      </c>
      <c r="P74" s="46">
        <f t="shared" si="4"/>
        <v>0</v>
      </c>
      <c r="Q74" s="1"/>
      <c r="S74" s="46">
        <f>SUM(D74:Q74)</f>
        <v>0</v>
      </c>
      <c r="T74" t="s">
        <v>237</v>
      </c>
    </row>
    <row r="75" spans="1:20" x14ac:dyDescent="0.3">
      <c r="D75" s="29"/>
      <c r="E75" s="29"/>
      <c r="F75" s="29"/>
      <c r="G75" s="29"/>
      <c r="H75" s="29"/>
      <c r="I75" s="29"/>
      <c r="J75" s="29"/>
      <c r="K75" s="29"/>
      <c r="L75" s="29"/>
      <c r="M75" s="29"/>
      <c r="N75" s="29"/>
      <c r="O75" s="29"/>
      <c r="P75" s="29"/>
      <c r="Q75" s="1"/>
      <c r="S75" s="29"/>
    </row>
    <row r="76" spans="1:20" x14ac:dyDescent="0.3">
      <c r="A76" t="s">
        <v>238</v>
      </c>
      <c r="D76" s="1"/>
      <c r="E76" s="1"/>
      <c r="F76" s="1"/>
      <c r="G76" s="1"/>
      <c r="H76" s="1"/>
      <c r="I76" s="1"/>
      <c r="J76" s="1"/>
      <c r="K76" s="1"/>
      <c r="L76" s="1"/>
      <c r="M76" s="1"/>
      <c r="N76" s="1"/>
      <c r="O76" s="1"/>
      <c r="P76" s="1"/>
      <c r="Q76" s="1"/>
      <c r="S76" s="29"/>
    </row>
    <row r="77" spans="1:20" x14ac:dyDescent="0.3">
      <c r="B77" t="s">
        <v>226</v>
      </c>
      <c r="D77" s="56"/>
      <c r="E77" s="56"/>
      <c r="F77" s="56"/>
      <c r="G77" s="56"/>
      <c r="H77" s="56"/>
      <c r="I77" s="226"/>
      <c r="J77" s="56"/>
      <c r="K77" s="56"/>
      <c r="L77" s="56"/>
      <c r="M77" s="56"/>
      <c r="N77" s="56"/>
      <c r="O77" s="56"/>
      <c r="P77" s="56"/>
      <c r="Q77" s="1"/>
      <c r="S77" s="29"/>
    </row>
    <row r="78" spans="1:20" x14ac:dyDescent="0.3">
      <c r="B78" t="s">
        <v>228</v>
      </c>
      <c r="D78" s="56"/>
      <c r="E78" s="56"/>
      <c r="F78" s="56"/>
      <c r="G78" s="56"/>
      <c r="H78" s="56"/>
      <c r="I78" s="226"/>
      <c r="J78" s="56"/>
      <c r="K78" s="56"/>
      <c r="L78" s="56"/>
      <c r="M78" s="56"/>
      <c r="N78" s="56"/>
      <c r="O78" s="56"/>
      <c r="P78" s="56"/>
      <c r="Q78" s="1"/>
      <c r="S78" s="29"/>
    </row>
    <row r="79" spans="1:20" ht="7.95" customHeight="1" x14ac:dyDescent="0.3">
      <c r="D79" s="217"/>
      <c r="E79" s="217"/>
      <c r="F79" s="217"/>
      <c r="G79" s="217"/>
      <c r="H79" s="217"/>
      <c r="I79" s="217"/>
      <c r="J79" s="217"/>
      <c r="K79" s="217"/>
      <c r="L79" s="217"/>
      <c r="M79" s="217"/>
      <c r="N79" s="217"/>
      <c r="O79" s="217"/>
      <c r="P79" s="217"/>
      <c r="Q79" s="1"/>
      <c r="S79" s="29"/>
    </row>
    <row r="80" spans="1:20" x14ac:dyDescent="0.3">
      <c r="B80" t="s">
        <v>229</v>
      </c>
      <c r="D80" s="56"/>
      <c r="E80" s="56"/>
      <c r="F80" s="56"/>
      <c r="G80" s="56"/>
      <c r="H80" s="56"/>
      <c r="I80" s="219"/>
      <c r="J80" s="56"/>
      <c r="K80" s="56"/>
      <c r="L80" s="56"/>
      <c r="M80" s="56"/>
      <c r="N80" s="56"/>
      <c r="O80" s="56"/>
      <c r="P80" s="56"/>
      <c r="Q80" s="1"/>
      <c r="S80" s="46">
        <f>SUM(D80:Q80)</f>
        <v>0</v>
      </c>
      <c r="T80" t="s">
        <v>239</v>
      </c>
    </row>
    <row r="81" spans="1:20" x14ac:dyDescent="0.3">
      <c r="B81" t="s">
        <v>231</v>
      </c>
      <c r="D81" s="56"/>
      <c r="E81" s="56"/>
      <c r="F81" s="56"/>
      <c r="G81" s="56"/>
      <c r="H81" s="56"/>
      <c r="I81" s="219"/>
      <c r="J81" s="56"/>
      <c r="K81" s="56"/>
      <c r="L81" s="56"/>
      <c r="M81" s="56"/>
      <c r="N81" s="56"/>
      <c r="O81" s="56"/>
      <c r="P81" s="56"/>
      <c r="Q81" s="1"/>
      <c r="S81" s="46">
        <f>SUM(D81:Q81)</f>
        <v>0</v>
      </c>
      <c r="T81" t="s">
        <v>239</v>
      </c>
    </row>
    <row r="82" spans="1:20" x14ac:dyDescent="0.3">
      <c r="B82" t="s">
        <v>235</v>
      </c>
      <c r="D82" s="56"/>
      <c r="E82" s="56"/>
      <c r="F82" s="56"/>
      <c r="G82" s="56"/>
      <c r="H82" s="56"/>
      <c r="I82" s="56"/>
      <c r="J82" s="56"/>
      <c r="K82" s="56"/>
      <c r="L82" s="56"/>
      <c r="M82" s="56"/>
      <c r="N82" s="56"/>
      <c r="O82" s="56"/>
      <c r="P82" s="56"/>
      <c r="Q82" s="1"/>
      <c r="S82" s="46">
        <f>SUM(D82:Q82)</f>
        <v>0</v>
      </c>
      <c r="T82" t="s">
        <v>239</v>
      </c>
    </row>
    <row r="83" spans="1:20" x14ac:dyDescent="0.3">
      <c r="B83" t="s">
        <v>232</v>
      </c>
      <c r="D83" s="46"/>
      <c r="E83" s="46"/>
      <c r="F83" s="46"/>
      <c r="G83" s="46"/>
      <c r="H83" s="46"/>
      <c r="I83" s="46"/>
      <c r="J83" s="46"/>
      <c r="K83" s="46"/>
      <c r="L83" s="46">
        <f t="shared" ref="E83:P83" si="5">L80-L81+L82</f>
        <v>0</v>
      </c>
      <c r="M83" s="46">
        <f>M80-M81+M82</f>
        <v>0</v>
      </c>
      <c r="N83" s="46">
        <f t="shared" si="5"/>
        <v>0</v>
      </c>
      <c r="O83" s="46">
        <f t="shared" si="5"/>
        <v>0</v>
      </c>
      <c r="P83" s="46">
        <f t="shared" si="5"/>
        <v>0</v>
      </c>
      <c r="Q83" s="1"/>
      <c r="S83" s="46">
        <f>SUM(D83:Q83)</f>
        <v>0</v>
      </c>
      <c r="T83" t="s">
        <v>239</v>
      </c>
    </row>
    <row r="84" spans="1:20" x14ac:dyDescent="0.3">
      <c r="D84" s="29"/>
      <c r="E84" s="29"/>
      <c r="F84" s="29"/>
      <c r="G84" s="29"/>
      <c r="H84" s="29"/>
      <c r="I84" s="29"/>
      <c r="J84" s="29"/>
      <c r="K84" s="29"/>
      <c r="L84" s="29"/>
      <c r="M84" s="29"/>
      <c r="N84" s="29"/>
      <c r="O84" s="29"/>
      <c r="P84" s="29"/>
      <c r="Q84" s="1"/>
      <c r="S84" s="29"/>
    </row>
    <row r="85" spans="1:20" x14ac:dyDescent="0.3">
      <c r="D85" s="29"/>
      <c r="E85" s="29"/>
      <c r="F85" s="29"/>
      <c r="G85" s="29"/>
      <c r="H85" s="29"/>
      <c r="I85" s="29"/>
      <c r="J85" s="29"/>
      <c r="K85" s="29"/>
      <c r="L85" s="29"/>
      <c r="M85" s="29"/>
      <c r="N85" s="29"/>
      <c r="O85" s="29"/>
      <c r="P85" s="29"/>
      <c r="Q85" s="1"/>
      <c r="S85" s="29"/>
    </row>
    <row r="86" spans="1:20" x14ac:dyDescent="0.3">
      <c r="A86" t="s">
        <v>240</v>
      </c>
      <c r="D86" s="1"/>
      <c r="E86" s="1"/>
      <c r="F86" s="1"/>
      <c r="G86" s="1"/>
      <c r="H86" s="1"/>
      <c r="I86" s="1"/>
      <c r="J86" s="1"/>
      <c r="K86" s="1"/>
      <c r="L86" s="1"/>
      <c r="M86" s="1"/>
      <c r="N86" s="1"/>
      <c r="O86" s="1"/>
      <c r="P86" s="1"/>
      <c r="Q86" s="1"/>
      <c r="S86" s="29"/>
    </row>
    <row r="87" spans="1:20" x14ac:dyDescent="0.3">
      <c r="B87" t="s">
        <v>226</v>
      </c>
      <c r="D87" s="219"/>
      <c r="E87" s="219"/>
      <c r="F87" s="219"/>
      <c r="G87" s="219"/>
      <c r="H87" s="219"/>
      <c r="I87" s="219"/>
      <c r="J87" s="219"/>
      <c r="K87" s="219"/>
      <c r="L87" s="219"/>
      <c r="M87" s="219"/>
      <c r="N87" s="219"/>
      <c r="O87" s="219"/>
      <c r="P87" s="56"/>
      <c r="Q87" s="1"/>
      <c r="S87" s="222" t="s">
        <v>227</v>
      </c>
    </row>
    <row r="88" spans="1:20" x14ac:dyDescent="0.3">
      <c r="B88" t="s">
        <v>228</v>
      </c>
      <c r="D88" s="218"/>
      <c r="E88" s="218"/>
      <c r="F88" s="218"/>
      <c r="G88" s="218"/>
      <c r="H88" s="218"/>
      <c r="I88" s="226"/>
      <c r="J88" s="218"/>
      <c r="K88" s="218"/>
      <c r="L88" s="218"/>
      <c r="M88" s="218"/>
      <c r="N88" s="218"/>
      <c r="O88" s="218"/>
      <c r="P88" s="56"/>
      <c r="Q88" s="1"/>
      <c r="S88" s="223">
        <v>45657</v>
      </c>
    </row>
    <row r="89" spans="1:20" ht="7.95" customHeight="1" x14ac:dyDescent="0.3">
      <c r="D89" s="217"/>
      <c r="E89" s="217"/>
      <c r="F89" s="217"/>
      <c r="G89" s="217"/>
      <c r="H89" s="217"/>
      <c r="I89" s="217"/>
      <c r="J89" s="217"/>
      <c r="K89" s="217"/>
      <c r="L89" s="217"/>
      <c r="M89" s="217"/>
      <c r="N89" s="217"/>
      <c r="O89" s="217"/>
      <c r="P89" s="217"/>
      <c r="Q89" s="1"/>
      <c r="S89" s="29"/>
    </row>
    <row r="90" spans="1:20" x14ac:dyDescent="0.3">
      <c r="B90" t="s">
        <v>229</v>
      </c>
      <c r="D90" s="56"/>
      <c r="E90" s="56"/>
      <c r="F90" s="56"/>
      <c r="G90" s="56"/>
      <c r="H90" s="56"/>
      <c r="I90" s="219"/>
      <c r="J90" s="56"/>
      <c r="K90" s="56"/>
      <c r="L90" s="56"/>
      <c r="M90" s="56"/>
      <c r="N90" s="56"/>
      <c r="O90" s="56"/>
      <c r="P90" s="56"/>
      <c r="Q90" s="1"/>
      <c r="S90" s="46">
        <f>SUM(D90:Q90)</f>
        <v>0</v>
      </c>
      <c r="T90" t="s">
        <v>241</v>
      </c>
    </row>
    <row r="91" spans="1:20" x14ac:dyDescent="0.3">
      <c r="B91" t="s">
        <v>231</v>
      </c>
      <c r="D91" s="56"/>
      <c r="E91" s="56"/>
      <c r="F91" s="56"/>
      <c r="G91" s="56"/>
      <c r="H91" s="56"/>
      <c r="I91" s="219"/>
      <c r="J91" s="56"/>
      <c r="K91" s="56"/>
      <c r="L91" s="56"/>
      <c r="M91" s="56"/>
      <c r="N91" s="56"/>
      <c r="O91" s="56"/>
      <c r="P91" s="56"/>
      <c r="Q91" s="1"/>
      <c r="S91" s="46">
        <f>SUM(D91:Q91)</f>
        <v>0</v>
      </c>
      <c r="T91" t="s">
        <v>241</v>
      </c>
    </row>
    <row r="92" spans="1:20" x14ac:dyDescent="0.3">
      <c r="B92" t="s">
        <v>232</v>
      </c>
      <c r="D92" s="46"/>
      <c r="E92" s="46"/>
      <c r="F92" s="46"/>
      <c r="G92" s="46"/>
      <c r="H92" s="46"/>
      <c r="I92" s="46"/>
      <c r="J92" s="46"/>
      <c r="K92" s="46"/>
      <c r="L92" s="46">
        <f t="shared" ref="E92:P92" si="6">L90-L91</f>
        <v>0</v>
      </c>
      <c r="M92" s="46">
        <f t="shared" si="6"/>
        <v>0</v>
      </c>
      <c r="N92" s="46">
        <f t="shared" si="6"/>
        <v>0</v>
      </c>
      <c r="O92" s="46">
        <f t="shared" si="6"/>
        <v>0</v>
      </c>
      <c r="P92" s="46">
        <f t="shared" si="6"/>
        <v>0</v>
      </c>
      <c r="Q92" s="1"/>
      <c r="S92" s="46">
        <f>SUM(D92:Q92)</f>
        <v>0</v>
      </c>
      <c r="T92" t="s">
        <v>241</v>
      </c>
    </row>
    <row r="93" spans="1:20" x14ac:dyDescent="0.3">
      <c r="D93" s="29"/>
      <c r="E93" s="29"/>
      <c r="F93" s="29"/>
      <c r="G93" s="29"/>
      <c r="H93" s="29"/>
      <c r="I93" s="29"/>
      <c r="J93" s="29"/>
      <c r="K93" s="29"/>
      <c r="L93" s="29"/>
      <c r="M93" s="29"/>
      <c r="N93" s="29"/>
      <c r="O93" s="29"/>
      <c r="P93" s="29"/>
      <c r="Q93" s="1"/>
      <c r="S93" s="29"/>
    </row>
    <row r="94" spans="1:20" x14ac:dyDescent="0.3">
      <c r="A94" t="s">
        <v>242</v>
      </c>
      <c r="D94" s="1"/>
      <c r="E94" s="1"/>
      <c r="F94" s="1"/>
      <c r="G94" s="1"/>
      <c r="H94" s="1"/>
      <c r="I94" s="1"/>
      <c r="J94" s="1"/>
      <c r="K94" s="1"/>
      <c r="L94" s="1"/>
      <c r="M94" s="1"/>
      <c r="N94" s="1"/>
      <c r="O94" s="1"/>
      <c r="P94" s="1"/>
      <c r="Q94" s="1"/>
      <c r="S94" s="29"/>
    </row>
    <row r="95" spans="1:20" x14ac:dyDescent="0.3">
      <c r="B95" t="s">
        <v>226</v>
      </c>
      <c r="D95" s="219"/>
      <c r="E95" s="56"/>
      <c r="F95" s="56"/>
      <c r="G95" s="56"/>
      <c r="H95" s="56"/>
      <c r="I95" s="56"/>
      <c r="J95" s="56"/>
      <c r="K95" s="56"/>
      <c r="L95" s="56"/>
      <c r="M95" s="56"/>
      <c r="N95" s="56"/>
      <c r="O95" s="56"/>
      <c r="P95" s="56"/>
      <c r="Q95" s="1"/>
      <c r="S95" s="29"/>
    </row>
    <row r="96" spans="1:20" x14ac:dyDescent="0.3">
      <c r="B96" t="s">
        <v>228</v>
      </c>
      <c r="D96" s="219"/>
      <c r="E96" s="56"/>
      <c r="F96" s="56"/>
      <c r="G96" s="56"/>
      <c r="H96" s="56"/>
      <c r="I96" s="56"/>
      <c r="J96" s="56"/>
      <c r="K96" s="56"/>
      <c r="L96" s="56"/>
      <c r="M96" s="56"/>
      <c r="N96" s="56"/>
      <c r="O96" s="56"/>
      <c r="P96" s="56"/>
      <c r="Q96" s="1"/>
      <c r="S96" s="29"/>
    </row>
    <row r="97" spans="1:20" ht="7.95" customHeight="1" x14ac:dyDescent="0.3">
      <c r="D97" s="217"/>
      <c r="E97" s="217"/>
      <c r="F97" s="217"/>
      <c r="G97" s="217"/>
      <c r="H97" s="217"/>
      <c r="I97" s="217"/>
      <c r="J97" s="217"/>
      <c r="K97" s="217"/>
      <c r="L97" s="217"/>
      <c r="M97" s="217"/>
      <c r="N97" s="217"/>
      <c r="O97" s="217"/>
      <c r="P97" s="217"/>
      <c r="Q97" s="1"/>
      <c r="S97" s="29"/>
    </row>
    <row r="98" spans="1:20" x14ac:dyDescent="0.3">
      <c r="B98" t="s">
        <v>229</v>
      </c>
      <c r="D98" s="219"/>
      <c r="E98" s="56"/>
      <c r="F98" s="56"/>
      <c r="G98" s="56"/>
      <c r="H98" s="56"/>
      <c r="I98" s="56"/>
      <c r="J98" s="56"/>
      <c r="K98" s="56"/>
      <c r="L98" s="56"/>
      <c r="M98" s="56"/>
      <c r="N98" s="56"/>
      <c r="O98" s="56"/>
      <c r="P98" s="56"/>
      <c r="Q98" s="1"/>
      <c r="S98" s="46">
        <f>SUM(D98:Q98)</f>
        <v>0</v>
      </c>
      <c r="T98" t="s">
        <v>243</v>
      </c>
    </row>
    <row r="99" spans="1:20" x14ac:dyDescent="0.3">
      <c r="B99" t="s">
        <v>231</v>
      </c>
      <c r="D99" s="219"/>
      <c r="E99" s="56"/>
      <c r="F99" s="56"/>
      <c r="G99" s="56"/>
      <c r="H99" s="56"/>
      <c r="I99" s="56"/>
      <c r="J99" s="56"/>
      <c r="K99" s="56"/>
      <c r="L99" s="56"/>
      <c r="M99" s="56"/>
      <c r="N99" s="56"/>
      <c r="O99" s="56"/>
      <c r="P99" s="56"/>
      <c r="Q99" s="1"/>
      <c r="S99" s="46">
        <f>SUM(D99:Q99)</f>
        <v>0</v>
      </c>
      <c r="T99" t="s">
        <v>243</v>
      </c>
    </row>
    <row r="100" spans="1:20" x14ac:dyDescent="0.3">
      <c r="B100" t="s">
        <v>235</v>
      </c>
      <c r="D100" s="56"/>
      <c r="E100" s="56"/>
      <c r="F100" s="56"/>
      <c r="G100" s="56"/>
      <c r="H100" s="56"/>
      <c r="I100" s="56"/>
      <c r="J100" s="56"/>
      <c r="K100" s="56"/>
      <c r="L100" s="56"/>
      <c r="M100" s="56"/>
      <c r="N100" s="56"/>
      <c r="O100" s="56"/>
      <c r="P100" s="56"/>
      <c r="Q100" s="1"/>
      <c r="S100" s="46">
        <f>SUM(D100:Q100)</f>
        <v>0</v>
      </c>
      <c r="T100" t="s">
        <v>243</v>
      </c>
    </row>
    <row r="101" spans="1:20" x14ac:dyDescent="0.3">
      <c r="B101" t="s">
        <v>232</v>
      </c>
      <c r="D101" s="46"/>
      <c r="E101" s="46"/>
      <c r="F101" s="46"/>
      <c r="G101" s="46"/>
      <c r="H101" s="46"/>
      <c r="I101" s="46"/>
      <c r="J101" s="46"/>
      <c r="K101" s="46"/>
      <c r="L101" s="46">
        <f t="shared" ref="E101:P101" si="7">L98-L99+L100</f>
        <v>0</v>
      </c>
      <c r="M101" s="46">
        <f t="shared" si="7"/>
        <v>0</v>
      </c>
      <c r="N101" s="46">
        <f t="shared" si="7"/>
        <v>0</v>
      </c>
      <c r="O101" s="46">
        <f t="shared" si="7"/>
        <v>0</v>
      </c>
      <c r="P101" s="46">
        <f t="shared" si="7"/>
        <v>0</v>
      </c>
      <c r="Q101" s="51"/>
      <c r="S101" s="46">
        <f>SUM(D101:Q101)</f>
        <v>0</v>
      </c>
      <c r="T101" t="s">
        <v>243</v>
      </c>
    </row>
    <row r="102" spans="1:20" x14ac:dyDescent="0.3">
      <c r="D102" s="29"/>
      <c r="E102" s="29"/>
      <c r="F102" s="29"/>
      <c r="G102" s="29"/>
      <c r="H102" s="29"/>
      <c r="I102" s="29"/>
      <c r="J102" s="29"/>
      <c r="K102" s="29"/>
      <c r="L102" s="29"/>
      <c r="M102" s="29"/>
      <c r="N102" s="29"/>
      <c r="O102" s="29"/>
      <c r="P102" s="29"/>
      <c r="Q102" s="1"/>
      <c r="S102" s="29"/>
    </row>
    <row r="103" spans="1:20" x14ac:dyDescent="0.3">
      <c r="A103" t="s">
        <v>244</v>
      </c>
      <c r="D103" s="1"/>
      <c r="E103" s="1"/>
      <c r="F103" s="1"/>
      <c r="G103" s="1"/>
      <c r="H103" s="1"/>
      <c r="I103" s="1"/>
      <c r="J103" s="1"/>
      <c r="K103" s="1"/>
      <c r="L103" s="1"/>
      <c r="M103" s="1"/>
      <c r="N103" s="1"/>
      <c r="O103" s="1"/>
      <c r="P103" s="1"/>
      <c r="Q103" s="1"/>
      <c r="S103" s="29"/>
    </row>
    <row r="104" spans="1:20" x14ac:dyDescent="0.3">
      <c r="B104" t="s">
        <v>226</v>
      </c>
      <c r="D104" s="219"/>
      <c r="E104" s="56"/>
      <c r="F104" s="56"/>
      <c r="G104" s="56"/>
      <c r="H104" s="56"/>
      <c r="I104" s="226"/>
      <c r="J104" s="56"/>
      <c r="K104" s="56"/>
      <c r="L104" s="56"/>
      <c r="M104" s="56"/>
      <c r="N104" s="56"/>
      <c r="O104" s="56"/>
      <c r="P104" s="56"/>
      <c r="Q104" s="1"/>
      <c r="S104" s="29"/>
    </row>
    <row r="105" spans="1:20" x14ac:dyDescent="0.3">
      <c r="B105" t="s">
        <v>228</v>
      </c>
      <c r="D105" s="226"/>
      <c r="E105" s="56"/>
      <c r="F105" s="56"/>
      <c r="G105" s="56"/>
      <c r="H105" s="56"/>
      <c r="I105" s="226"/>
      <c r="J105" s="56"/>
      <c r="K105" s="56"/>
      <c r="L105" s="56"/>
      <c r="M105" s="56"/>
      <c r="N105" s="56"/>
      <c r="O105" s="56"/>
      <c r="P105" s="56"/>
      <c r="Q105" s="1"/>
      <c r="S105" s="29"/>
    </row>
    <row r="106" spans="1:20" ht="7.95" customHeight="1" x14ac:dyDescent="0.3">
      <c r="D106" s="217"/>
      <c r="E106" s="217"/>
      <c r="F106" s="217"/>
      <c r="G106" s="217"/>
      <c r="H106" s="217"/>
      <c r="I106" s="217"/>
      <c r="J106" s="217"/>
      <c r="K106" s="217"/>
      <c r="L106" s="217"/>
      <c r="M106" s="217"/>
      <c r="N106" s="217"/>
      <c r="O106" s="217"/>
      <c r="P106" s="217"/>
      <c r="Q106" s="1"/>
      <c r="S106" s="29"/>
    </row>
    <row r="107" spans="1:20" x14ac:dyDescent="0.3">
      <c r="B107" t="s">
        <v>229</v>
      </c>
      <c r="D107" s="219"/>
      <c r="E107" s="56"/>
      <c r="F107" s="56"/>
      <c r="G107" s="56"/>
      <c r="H107" s="56"/>
      <c r="I107" s="219"/>
      <c r="J107" s="56"/>
      <c r="K107" s="56"/>
      <c r="L107" s="56"/>
      <c r="M107" s="56"/>
      <c r="N107" s="56"/>
      <c r="O107" s="56"/>
      <c r="P107" s="56"/>
      <c r="Q107" s="1"/>
      <c r="S107" s="46">
        <f>SUM(D107:Q107)</f>
        <v>0</v>
      </c>
      <c r="T107" t="s">
        <v>245</v>
      </c>
    </row>
    <row r="108" spans="1:20" x14ac:dyDescent="0.3">
      <c r="B108" t="s">
        <v>231</v>
      </c>
      <c r="D108" s="219"/>
      <c r="E108" s="56"/>
      <c r="F108" s="56"/>
      <c r="G108" s="56"/>
      <c r="H108" s="56"/>
      <c r="I108" s="219"/>
      <c r="J108" s="56"/>
      <c r="K108" s="56"/>
      <c r="L108" s="56"/>
      <c r="M108" s="56"/>
      <c r="N108" s="56"/>
      <c r="O108" s="56"/>
      <c r="P108" s="56"/>
      <c r="Q108" s="1"/>
      <c r="S108" s="46">
        <f>SUM(D108:Q108)</f>
        <v>0</v>
      </c>
      <c r="T108" t="s">
        <v>245</v>
      </c>
    </row>
    <row r="109" spans="1:20" x14ac:dyDescent="0.3">
      <c r="B109" t="s">
        <v>235</v>
      </c>
      <c r="D109" s="56"/>
      <c r="E109" s="56"/>
      <c r="F109" s="56"/>
      <c r="G109" s="56"/>
      <c r="H109" s="56"/>
      <c r="I109" s="56"/>
      <c r="J109" s="56"/>
      <c r="K109" s="56"/>
      <c r="L109" s="56"/>
      <c r="M109" s="56"/>
      <c r="N109" s="56"/>
      <c r="O109" s="56"/>
      <c r="P109" s="56"/>
      <c r="Q109" s="1"/>
      <c r="S109" s="46">
        <f>SUM(D109:Q109)</f>
        <v>0</v>
      </c>
      <c r="T109" t="s">
        <v>245</v>
      </c>
    </row>
    <row r="110" spans="1:20" x14ac:dyDescent="0.3">
      <c r="B110" t="s">
        <v>232</v>
      </c>
      <c r="D110" s="46"/>
      <c r="E110" s="46"/>
      <c r="F110" s="46"/>
      <c r="G110" s="46"/>
      <c r="H110" s="46"/>
      <c r="I110" s="46"/>
      <c r="J110" s="46"/>
      <c r="K110" s="46"/>
      <c r="L110" s="46">
        <f t="shared" ref="E110:O110" si="8">L107-L108+L109</f>
        <v>0</v>
      </c>
      <c r="M110" s="46">
        <f t="shared" si="8"/>
        <v>0</v>
      </c>
      <c r="N110" s="46">
        <f t="shared" si="8"/>
        <v>0</v>
      </c>
      <c r="O110" s="46">
        <f t="shared" si="8"/>
        <v>0</v>
      </c>
      <c r="P110" s="46">
        <f>P107-P108+P109</f>
        <v>0</v>
      </c>
      <c r="Q110" s="1"/>
      <c r="S110" s="46">
        <f>SUM(D110:Q110)</f>
        <v>0</v>
      </c>
      <c r="T110" t="s">
        <v>245</v>
      </c>
    </row>
    <row r="111" spans="1:20" x14ac:dyDescent="0.3">
      <c r="D111" s="29"/>
      <c r="E111" s="29"/>
      <c r="F111" s="29"/>
      <c r="G111" s="29"/>
      <c r="H111" s="29"/>
      <c r="I111" s="29"/>
      <c r="J111" s="29"/>
      <c r="K111" s="29"/>
      <c r="L111" s="29"/>
      <c r="M111" s="29"/>
      <c r="N111" s="29"/>
      <c r="O111" s="29"/>
      <c r="P111" s="29"/>
      <c r="Q111" s="1"/>
      <c r="S111" s="29"/>
    </row>
    <row r="112" spans="1:20" x14ac:dyDescent="0.3">
      <c r="A112" t="s">
        <v>246</v>
      </c>
      <c r="D112" s="1"/>
      <c r="E112" s="1"/>
      <c r="F112" s="1"/>
      <c r="G112" s="1"/>
      <c r="H112" s="1"/>
      <c r="I112" s="1"/>
      <c r="J112" s="1"/>
      <c r="K112" s="1"/>
      <c r="L112" s="1"/>
      <c r="M112" s="1"/>
      <c r="N112" s="1"/>
      <c r="O112" s="1"/>
      <c r="P112" s="1"/>
      <c r="Q112" s="1"/>
      <c r="S112" s="29"/>
    </row>
    <row r="113" spans="1:20" x14ac:dyDescent="0.3">
      <c r="B113" t="s">
        <v>226</v>
      </c>
      <c r="D113" s="219"/>
      <c r="E113" s="219"/>
      <c r="F113" s="219"/>
      <c r="G113" s="219"/>
      <c r="H113" s="219"/>
      <c r="I113" s="56"/>
      <c r="J113" s="56"/>
      <c r="K113" s="56"/>
      <c r="L113" s="56"/>
      <c r="M113" s="56"/>
      <c r="N113" s="56"/>
      <c r="O113" s="56"/>
      <c r="P113" s="56"/>
      <c r="Q113" s="1"/>
      <c r="S113" s="29"/>
    </row>
    <row r="114" spans="1:20" x14ac:dyDescent="0.3">
      <c r="B114" t="s">
        <v>228</v>
      </c>
      <c r="D114" s="226"/>
      <c r="E114" s="226"/>
      <c r="F114" s="226"/>
      <c r="G114" s="226"/>
      <c r="H114" s="226"/>
      <c r="I114" s="56"/>
      <c r="J114" s="56"/>
      <c r="K114" s="56"/>
      <c r="L114" s="56"/>
      <c r="M114" s="56"/>
      <c r="N114" s="56"/>
      <c r="O114" s="56"/>
      <c r="P114" s="56"/>
      <c r="Q114" s="1"/>
      <c r="S114" s="29"/>
    </row>
    <row r="115" spans="1:20" ht="7.95" customHeight="1" x14ac:dyDescent="0.3">
      <c r="D115" s="217"/>
      <c r="E115" s="217"/>
      <c r="F115" s="217"/>
      <c r="G115" s="217"/>
      <c r="H115" s="217"/>
      <c r="I115" s="217"/>
      <c r="J115" s="217"/>
      <c r="K115" s="217"/>
      <c r="L115" s="217"/>
      <c r="M115" s="217"/>
      <c r="N115" s="217"/>
      <c r="O115" s="217"/>
      <c r="P115" s="217"/>
      <c r="Q115" s="1"/>
      <c r="S115" s="29"/>
    </row>
    <row r="116" spans="1:20" x14ac:dyDescent="0.3">
      <c r="B116" t="s">
        <v>229</v>
      </c>
      <c r="D116" s="219"/>
      <c r="E116" s="219"/>
      <c r="F116" s="219"/>
      <c r="G116" s="219"/>
      <c r="H116" s="219"/>
      <c r="I116" s="56"/>
      <c r="J116" s="56"/>
      <c r="K116" s="56"/>
      <c r="L116" s="56"/>
      <c r="M116" s="56"/>
      <c r="N116" s="56"/>
      <c r="O116" s="56"/>
      <c r="P116" s="56"/>
      <c r="Q116" s="1"/>
      <c r="S116" s="46">
        <f>SUM(D116:Q116)</f>
        <v>0</v>
      </c>
      <c r="T116" t="s">
        <v>247</v>
      </c>
    </row>
    <row r="117" spans="1:20" x14ac:dyDescent="0.3">
      <c r="B117" t="s">
        <v>231</v>
      </c>
      <c r="D117" s="219"/>
      <c r="E117" s="219"/>
      <c r="F117" s="219"/>
      <c r="G117" s="219"/>
      <c r="H117" s="219"/>
      <c r="I117" s="56"/>
      <c r="J117" s="56"/>
      <c r="K117" s="56"/>
      <c r="L117" s="56"/>
      <c r="M117" s="56"/>
      <c r="N117" s="56"/>
      <c r="O117" s="56"/>
      <c r="P117" s="56"/>
      <c r="Q117" s="1"/>
      <c r="S117" s="46">
        <f>SUM(D117:Q117)</f>
        <v>0</v>
      </c>
      <c r="T117" t="s">
        <v>247</v>
      </c>
    </row>
    <row r="118" spans="1:20" x14ac:dyDescent="0.3">
      <c r="B118" t="s">
        <v>235</v>
      </c>
      <c r="D118" s="56"/>
      <c r="E118" s="56"/>
      <c r="F118" s="56"/>
      <c r="G118" s="56"/>
      <c r="H118" s="56"/>
      <c r="I118" s="56"/>
      <c r="J118" s="56"/>
      <c r="K118" s="56"/>
      <c r="L118" s="56"/>
      <c r="M118" s="56"/>
      <c r="N118" s="56"/>
      <c r="O118" s="56"/>
      <c r="P118" s="56"/>
      <c r="Q118" s="1"/>
      <c r="S118" s="46">
        <f>SUM(D118:Q118)</f>
        <v>0</v>
      </c>
      <c r="T118" t="s">
        <v>247</v>
      </c>
    </row>
    <row r="119" spans="1:20" x14ac:dyDescent="0.3">
      <c r="B119" t="s">
        <v>232</v>
      </c>
      <c r="D119" s="46">
        <f>D116-D117+D118</f>
        <v>0</v>
      </c>
      <c r="E119" s="46">
        <f t="shared" ref="E119:P119" si="9">E116-E117+E118</f>
        <v>0</v>
      </c>
      <c r="F119" s="46">
        <f t="shared" si="9"/>
        <v>0</v>
      </c>
      <c r="G119" s="46">
        <f t="shared" si="9"/>
        <v>0</v>
      </c>
      <c r="H119" s="46">
        <f t="shared" si="9"/>
        <v>0</v>
      </c>
      <c r="I119" s="46">
        <f t="shared" si="9"/>
        <v>0</v>
      </c>
      <c r="J119" s="46">
        <f t="shared" si="9"/>
        <v>0</v>
      </c>
      <c r="K119" s="46">
        <f t="shared" si="9"/>
        <v>0</v>
      </c>
      <c r="L119" s="46">
        <f t="shared" si="9"/>
        <v>0</v>
      </c>
      <c r="M119" s="46">
        <f t="shared" si="9"/>
        <v>0</v>
      </c>
      <c r="N119" s="46">
        <f t="shared" si="9"/>
        <v>0</v>
      </c>
      <c r="O119" s="46">
        <f t="shared" si="9"/>
        <v>0</v>
      </c>
      <c r="P119" s="46">
        <f t="shared" si="9"/>
        <v>0</v>
      </c>
      <c r="Q119" s="1"/>
      <c r="S119" s="46">
        <f>SUM(D119:Q119)</f>
        <v>0</v>
      </c>
      <c r="T119" t="s">
        <v>247</v>
      </c>
    </row>
    <row r="120" spans="1:20" x14ac:dyDescent="0.3">
      <c r="D120" s="29"/>
      <c r="E120" s="29"/>
      <c r="F120" s="29"/>
      <c r="G120" s="29"/>
      <c r="H120" s="29"/>
      <c r="I120" s="29"/>
      <c r="J120" s="29"/>
      <c r="K120" s="29"/>
      <c r="L120" s="29"/>
      <c r="M120" s="29"/>
      <c r="N120" s="29"/>
      <c r="O120" s="29"/>
      <c r="P120" s="29"/>
      <c r="Q120" s="1"/>
      <c r="S120" s="29"/>
    </row>
    <row r="121" spans="1:20" x14ac:dyDescent="0.3">
      <c r="A121" t="s">
        <v>248</v>
      </c>
      <c r="D121" s="46">
        <f>+D107+D98+D71+D62+D54+D90</f>
        <v>0</v>
      </c>
      <c r="E121" s="46">
        <f t="shared" ref="E121:P121" si="10">+E107+E98+E71+E62+E54+E90</f>
        <v>0</v>
      </c>
      <c r="F121" s="46">
        <f t="shared" si="10"/>
        <v>0</v>
      </c>
      <c r="G121" s="46">
        <f t="shared" si="10"/>
        <v>0</v>
      </c>
      <c r="H121" s="46">
        <f t="shared" si="10"/>
        <v>0</v>
      </c>
      <c r="I121" s="46">
        <f>+I107+I98+I71+I62+I54+I90</f>
        <v>0</v>
      </c>
      <c r="J121" s="46">
        <f t="shared" si="10"/>
        <v>0</v>
      </c>
      <c r="K121" s="46">
        <f t="shared" si="10"/>
        <v>0</v>
      </c>
      <c r="L121" s="46">
        <f t="shared" si="10"/>
        <v>0</v>
      </c>
      <c r="M121" s="46">
        <f t="shared" si="10"/>
        <v>0</v>
      </c>
      <c r="N121" s="46">
        <f t="shared" si="10"/>
        <v>0</v>
      </c>
      <c r="O121" s="46">
        <f t="shared" si="10"/>
        <v>0</v>
      </c>
      <c r="P121" s="46">
        <f t="shared" si="10"/>
        <v>0</v>
      </c>
      <c r="Q121" s="1"/>
      <c r="S121" s="46">
        <f>+S107+S98+S71+S62+S54+S90</f>
        <v>0</v>
      </c>
      <c r="T121" t="s">
        <v>249</v>
      </c>
    </row>
    <row r="122" spans="1:20" x14ac:dyDescent="0.3">
      <c r="D122" s="1"/>
      <c r="E122" s="1"/>
      <c r="F122" s="1"/>
      <c r="G122" s="1"/>
      <c r="H122" s="1"/>
      <c r="I122" s="1"/>
      <c r="J122" s="1"/>
      <c r="K122" s="1"/>
      <c r="L122" s="1"/>
      <c r="M122" s="1"/>
      <c r="N122" s="1"/>
      <c r="O122" s="1"/>
      <c r="P122" s="1"/>
      <c r="Q122" s="1"/>
      <c r="S122" s="29"/>
    </row>
    <row r="123" spans="1:20" x14ac:dyDescent="0.3">
      <c r="A123" t="s">
        <v>250</v>
      </c>
      <c r="D123" s="56"/>
      <c r="E123" s="56"/>
      <c r="F123" s="56"/>
      <c r="G123" s="56"/>
      <c r="H123" s="56"/>
      <c r="I123" s="56"/>
      <c r="J123" s="56"/>
      <c r="K123" s="56"/>
      <c r="L123" s="56"/>
      <c r="M123" s="56"/>
      <c r="N123" s="56"/>
      <c r="O123" s="56"/>
      <c r="P123" s="56"/>
      <c r="Q123" s="1"/>
      <c r="S123" s="46">
        <f t="shared" ref="S123:S131" si="11">SUM(D123:Q123)</f>
        <v>0</v>
      </c>
      <c r="T123" t="s">
        <v>251</v>
      </c>
    </row>
    <row r="124" spans="1:20" x14ac:dyDescent="0.3">
      <c r="A124" t="s">
        <v>252</v>
      </c>
      <c r="D124" s="56"/>
      <c r="E124" s="56"/>
      <c r="F124" s="56"/>
      <c r="G124" s="56"/>
      <c r="H124" s="56"/>
      <c r="I124" s="56"/>
      <c r="J124" s="56"/>
      <c r="K124" s="56"/>
      <c r="L124" s="56"/>
      <c r="M124" s="56"/>
      <c r="N124" s="56"/>
      <c r="O124" s="56"/>
      <c r="P124" s="56"/>
      <c r="Q124" s="1"/>
      <c r="S124" s="46">
        <f t="shared" si="11"/>
        <v>0</v>
      </c>
      <c r="T124" t="s">
        <v>253</v>
      </c>
    </row>
    <row r="125" spans="1:20" x14ac:dyDescent="0.3">
      <c r="A125" t="s">
        <v>254</v>
      </c>
      <c r="D125" s="56"/>
      <c r="E125" s="56"/>
      <c r="F125" s="56"/>
      <c r="G125" s="56"/>
      <c r="H125" s="56"/>
      <c r="I125" s="56"/>
      <c r="J125" s="56"/>
      <c r="K125" s="56"/>
      <c r="L125" s="56"/>
      <c r="M125" s="56"/>
      <c r="N125" s="56"/>
      <c r="O125" s="56"/>
      <c r="P125" s="56"/>
      <c r="Q125" s="1"/>
      <c r="S125" s="46">
        <f t="shared" si="11"/>
        <v>0</v>
      </c>
      <c r="T125" t="s">
        <v>255</v>
      </c>
    </row>
    <row r="126" spans="1:20" x14ac:dyDescent="0.3">
      <c r="B126" t="s">
        <v>256</v>
      </c>
      <c r="D126" s="56"/>
      <c r="E126" s="56"/>
      <c r="F126" s="56"/>
      <c r="G126" s="56"/>
      <c r="H126" s="56"/>
      <c r="I126" s="56"/>
      <c r="J126" s="56"/>
      <c r="K126" s="56"/>
      <c r="L126" s="56"/>
      <c r="M126" s="56"/>
      <c r="N126" s="56"/>
      <c r="O126" s="56"/>
      <c r="P126" s="56"/>
      <c r="Q126" s="1"/>
      <c r="S126" s="46">
        <f t="shared" si="11"/>
        <v>0</v>
      </c>
      <c r="T126" t="s">
        <v>257</v>
      </c>
    </row>
    <row r="127" spans="1:20" x14ac:dyDescent="0.3">
      <c r="B127" t="s">
        <v>258</v>
      </c>
      <c r="D127" s="56"/>
      <c r="E127" s="56"/>
      <c r="F127" s="56"/>
      <c r="G127" s="56"/>
      <c r="H127" s="56"/>
      <c r="I127" s="56"/>
      <c r="J127" s="56"/>
      <c r="K127" s="56"/>
      <c r="L127" s="56"/>
      <c r="M127" s="56"/>
      <c r="N127" s="56"/>
      <c r="O127" s="56"/>
      <c r="P127" s="56"/>
      <c r="Q127" s="1"/>
      <c r="S127" s="46">
        <f t="shared" si="11"/>
        <v>0</v>
      </c>
      <c r="T127" t="s">
        <v>257</v>
      </c>
    </row>
    <row r="128" spans="1:20" x14ac:dyDescent="0.3">
      <c r="B128" t="s">
        <v>259</v>
      </c>
      <c r="D128" s="56"/>
      <c r="E128" s="56"/>
      <c r="F128" s="56"/>
      <c r="G128" s="56"/>
      <c r="H128" s="56"/>
      <c r="I128" s="56"/>
      <c r="J128" s="56"/>
      <c r="K128" s="56"/>
      <c r="L128" s="56"/>
      <c r="M128" s="56"/>
      <c r="N128" s="56"/>
      <c r="O128" s="56"/>
      <c r="P128" s="56"/>
      <c r="Q128" s="1"/>
      <c r="S128" s="46">
        <f t="shared" si="11"/>
        <v>0</v>
      </c>
      <c r="T128" t="s">
        <v>257</v>
      </c>
    </row>
    <row r="129" spans="1:20" x14ac:dyDescent="0.3">
      <c r="B129" t="s">
        <v>260</v>
      </c>
      <c r="D129" s="56"/>
      <c r="E129" s="56"/>
      <c r="F129" s="56"/>
      <c r="G129" s="56"/>
      <c r="H129" s="56"/>
      <c r="I129" s="56"/>
      <c r="J129" s="56"/>
      <c r="K129" s="56"/>
      <c r="L129" s="56"/>
      <c r="M129" s="56"/>
      <c r="N129" s="56"/>
      <c r="O129" s="56"/>
      <c r="P129" s="56"/>
      <c r="Q129" s="1"/>
      <c r="S129" s="46">
        <f t="shared" si="11"/>
        <v>0</v>
      </c>
      <c r="T129" t="s">
        <v>257</v>
      </c>
    </row>
    <row r="130" spans="1:20" x14ac:dyDescent="0.3">
      <c r="A130" t="s">
        <v>261</v>
      </c>
      <c r="D130" s="56"/>
      <c r="E130" s="56"/>
      <c r="F130" s="56"/>
      <c r="G130" s="56"/>
      <c r="H130" s="56"/>
      <c r="I130" s="56"/>
      <c r="J130" s="56"/>
      <c r="K130" s="56"/>
      <c r="L130" s="56"/>
      <c r="M130" s="56"/>
      <c r="N130" s="56"/>
      <c r="O130" s="56"/>
      <c r="P130" s="56"/>
      <c r="Q130" s="1"/>
      <c r="S130" s="46">
        <f t="shared" si="11"/>
        <v>0</v>
      </c>
      <c r="T130" t="s">
        <v>262</v>
      </c>
    </row>
    <row r="131" spans="1:20" x14ac:dyDescent="0.3">
      <c r="A131" t="s">
        <v>263</v>
      </c>
      <c r="D131" s="56"/>
      <c r="E131" s="56"/>
      <c r="F131" s="56"/>
      <c r="G131" s="56"/>
      <c r="H131" s="56"/>
      <c r="I131" s="56"/>
      <c r="J131" s="56"/>
      <c r="K131" s="56"/>
      <c r="L131" s="56"/>
      <c r="M131" s="56"/>
      <c r="N131" s="56"/>
      <c r="O131" s="56"/>
      <c r="P131" s="56"/>
      <c r="Q131" s="1"/>
      <c r="S131" s="46">
        <f t="shared" si="11"/>
        <v>0</v>
      </c>
      <c r="T131" t="s">
        <v>264</v>
      </c>
    </row>
    <row r="133" spans="1:20" x14ac:dyDescent="0.3">
      <c r="D133" s="34" t="s">
        <v>265</v>
      </c>
      <c r="F133" s="34" t="s">
        <v>0</v>
      </c>
      <c r="G133" s="34" t="s">
        <v>2</v>
      </c>
    </row>
    <row r="134" spans="1:20" x14ac:dyDescent="0.3">
      <c r="A134" t="s">
        <v>266</v>
      </c>
      <c r="D134" s="53">
        <f>S56+S65+S74+S83</f>
        <v>0</v>
      </c>
      <c r="F134" s="53">
        <f>SUMIF(D7:O7,"T",D56:O56)+SUMIF(D7:O7,"T",D65:O65)+SUMIF(D7:O7,"T",D74:O74)+SUMIF(D7:O7,"T",D83:O83)+0.5*SUMIF(D7:O7,"J",D56:O56)+0.5*SUMIF(D7:O7,"J",D65:O65)+0.5*SUMIF(D7:O7,"J",D74:O74)+0.5*SUMIF(D7:O7,"J",D83:O83)</f>
        <v>0</v>
      </c>
      <c r="G134" s="53">
        <f>SUMIF(D7:O7,"S",D56:O56)+SUMIF(D7:O7,"S",D65:O65)+SUMIF(D7:O7,"S",D74:O74)+SUMIF(D7:O7,"S",D83:O83)+0.5*SUMIF(D7:O7,"J",D56:O56)+0.5*SUMIF(D7:O7,"J",D65:O65)+0.5*SUMIF(D7:O7,"J",D74:O74)+0.5*SUMIF(D7:O7,"J",D83:O83)</f>
        <v>0</v>
      </c>
    </row>
    <row r="135" spans="1:20" x14ac:dyDescent="0.3">
      <c r="A135" t="s">
        <v>267</v>
      </c>
      <c r="D135" s="56"/>
      <c r="F135" s="56"/>
      <c r="G135" s="56"/>
    </row>
    <row r="136" spans="1:20" x14ac:dyDescent="0.3">
      <c r="A136" t="s">
        <v>268</v>
      </c>
      <c r="D136" s="56"/>
      <c r="F136" s="56"/>
      <c r="G136" s="56"/>
    </row>
    <row r="137" spans="1:20" x14ac:dyDescent="0.3">
      <c r="A137" t="s">
        <v>269</v>
      </c>
      <c r="D137" s="56"/>
      <c r="F137" s="56"/>
      <c r="G137" s="56"/>
    </row>
    <row r="138" spans="1:20" x14ac:dyDescent="0.3">
      <c r="A138" t="s">
        <v>270</v>
      </c>
      <c r="D138" s="53">
        <f>S131*0.4</f>
        <v>0</v>
      </c>
      <c r="F138" s="53">
        <f>SUMIF(D7:O7,"T",D131:O131)*0.4+0.5*0.4*SUMIF(D7:O7,"J",D131:O131)</f>
        <v>0</v>
      </c>
      <c r="G138" s="53">
        <f>SUMIF(D7:O7,"S",D131:O131)*0.4+0.5*0.4*SUMIF(D7:O7,"J",D131:O131)</f>
        <v>0</v>
      </c>
      <c r="S138" s="1"/>
    </row>
    <row r="139" spans="1:20" x14ac:dyDescent="0.3">
      <c r="A139" t="s">
        <v>271</v>
      </c>
      <c r="D139" s="53">
        <f>'Schedule E -K-1 Summary'!O25</f>
        <v>0</v>
      </c>
      <c r="F139" s="53">
        <f>SUMIF('Schedule E -K-1 Summary'!E12:N12,"T",'Schedule E -K-1 Summary'!E25:N25)</f>
        <v>0</v>
      </c>
      <c r="G139" s="53">
        <f>SUMIF('Schedule E -K-1 Summary'!E12:N12,"S",'Schedule E -K-1 Summary'!E25:N25)</f>
        <v>0</v>
      </c>
    </row>
    <row r="140" spans="1:20" x14ac:dyDescent="0.3">
      <c r="A140" t="s">
        <v>272</v>
      </c>
      <c r="D140" s="61"/>
      <c r="F140" s="61"/>
      <c r="G140" s="61"/>
      <c r="S140" s="1"/>
    </row>
    <row r="141" spans="1:20" x14ac:dyDescent="0.3">
      <c r="A141" t="s">
        <v>273</v>
      </c>
      <c r="D141" s="53">
        <f>SUM(D134:D140)</f>
        <v>0</v>
      </c>
      <c r="F141" s="53">
        <f t="shared" ref="F141:G141" si="12">SUM(F134:F140)</f>
        <v>0</v>
      </c>
      <c r="G141" s="53">
        <f t="shared" si="12"/>
        <v>0</v>
      </c>
      <c r="S141" s="1"/>
    </row>
    <row r="142" spans="1:20" x14ac:dyDescent="0.3">
      <c r="D142" s="31"/>
      <c r="F142" s="31"/>
      <c r="G142" s="31"/>
      <c r="S142" s="1"/>
    </row>
    <row r="143" spans="1:20" x14ac:dyDescent="0.3">
      <c r="A143" t="s">
        <v>274</v>
      </c>
      <c r="D143" s="53">
        <f>S92+S101+S110+S119</f>
        <v>0</v>
      </c>
      <c r="F143" s="53">
        <f>SUMIF(D7:O7,"T",D92:O92)+SUMIF(D7:O7,"T",D101:O101)+SUMIF(D7:O7,"T",D110:O110)+SUMIF(D7:O7,"T",D119:O119)+0.5*SUMIF(D7:O7,"J",D92:O92)+0.5*SUMIF(D7:O7,"J",D101:O101)+0.5*SUMIF(D7:O7,"J",D110:O110)+0.5*SUMIF(D7:O7,"J",D119:O119)</f>
        <v>0</v>
      </c>
      <c r="G143" s="53">
        <f>SUMIF(D7:O7,"S",D92:O92)+SUMIF(D7:O7,"S",D101:O101)+SUMIF(D7:O7,"S",D110:O110)+SUMIF(D7:O7,"S",D119:O119)+0.5*SUMIF(D7:O7,"J",D92:O92)+0.5*SUMIF(D7:O7,"J",D101:O101)+0.5*SUMIF(D7:O7,"J",D110:O110)+0.5*SUMIF(D7:O7,"J",D119:O119)</f>
        <v>0</v>
      </c>
      <c r="S143" s="1"/>
    </row>
    <row r="144" spans="1:20" x14ac:dyDescent="0.3">
      <c r="A144" t="s">
        <v>275</v>
      </c>
      <c r="D144" s="56"/>
      <c r="F144" s="56"/>
      <c r="G144" s="56"/>
      <c r="S144" s="1"/>
    </row>
    <row r="145" spans="1:19" x14ac:dyDescent="0.3">
      <c r="A145" t="s">
        <v>276</v>
      </c>
      <c r="D145" s="56"/>
      <c r="F145" s="56"/>
      <c r="G145" s="56"/>
      <c r="S145" s="1"/>
    </row>
    <row r="146" spans="1:19" x14ac:dyDescent="0.3">
      <c r="A146" t="s">
        <v>277</v>
      </c>
      <c r="D146" s="56"/>
      <c r="F146" s="56"/>
      <c r="G146" s="56"/>
      <c r="S146" s="1"/>
    </row>
    <row r="147" spans="1:19" x14ac:dyDescent="0.3">
      <c r="A147" t="s">
        <v>278</v>
      </c>
      <c r="D147" s="56"/>
      <c r="F147" s="56"/>
      <c r="G147" s="56"/>
      <c r="S147" s="1"/>
    </row>
    <row r="148" spans="1:19" x14ac:dyDescent="0.3">
      <c r="A148" t="s">
        <v>279</v>
      </c>
      <c r="D148" s="56"/>
      <c r="F148" s="56"/>
      <c r="G148" s="56"/>
      <c r="S148" s="1"/>
    </row>
    <row r="149" spans="1:19" x14ac:dyDescent="0.3">
      <c r="A149" t="s">
        <v>280</v>
      </c>
      <c r="D149" s="53">
        <f>S131*0.6</f>
        <v>0</v>
      </c>
      <c r="F149" s="53">
        <f>SUMIF(D7:O7,"T",D131:O131)*0.6+0.5*0.6*SUMIF(D7:O7,"J",D131:O131)</f>
        <v>0</v>
      </c>
      <c r="G149" s="53">
        <f>SUMIF(D7:O7,"S",D131:O131)*0.6+0.5*0.6*SUMIF(D7:O7,"J",D131:O131)</f>
        <v>0</v>
      </c>
      <c r="I149" s="3"/>
      <c r="S149" s="1"/>
    </row>
    <row r="150" spans="1:19" x14ac:dyDescent="0.3">
      <c r="A150" t="s">
        <v>281</v>
      </c>
      <c r="D150" s="53">
        <f>'Schedule E -K-1 Summary'!O26</f>
        <v>0</v>
      </c>
      <c r="F150" s="53">
        <f>SUMIF('Schedule E -K-1 Summary'!E12:N12,"T",'Schedule E -K-1 Summary'!E26:N26)</f>
        <v>0</v>
      </c>
      <c r="G150" s="53">
        <f>SUMIF('Schedule E -K-1 Summary'!E12:N12,"S",'Schedule E -K-1 Summary'!E26:N26)</f>
        <v>0</v>
      </c>
      <c r="S150" s="1"/>
    </row>
    <row r="151" spans="1:19" x14ac:dyDescent="0.3">
      <c r="A151" t="s">
        <v>282</v>
      </c>
      <c r="D151" s="53">
        <f>S37</f>
        <v>0</v>
      </c>
      <c r="F151" s="53">
        <f>SUMIF(D7:O7,"T",D37:O37)+0.5*SUMIF(D7:O7,"J",D37:O37)</f>
        <v>0</v>
      </c>
      <c r="G151" s="53">
        <f>SUMIF(D7:O7,"S",D37:O37)+0.5*SUMIF(D7:O7,"J",D37:O37)</f>
        <v>0</v>
      </c>
      <c r="S151" s="1"/>
    </row>
    <row r="152" spans="1:19" x14ac:dyDescent="0.3">
      <c r="A152" t="s">
        <v>283</v>
      </c>
      <c r="D152" s="61"/>
      <c r="F152" s="61"/>
      <c r="G152" s="61"/>
    </row>
    <row r="153" spans="1:19" x14ac:dyDescent="0.3">
      <c r="A153" t="s">
        <v>284</v>
      </c>
      <c r="D153" s="53">
        <f>SUM(D143:D152)</f>
        <v>0</v>
      </c>
      <c r="F153" s="53">
        <f>SUM(F143:F152)</f>
        <v>0</v>
      </c>
      <c r="G153" s="53">
        <f t="shared" ref="G153" si="13">SUM(G143:G152)</f>
        <v>0</v>
      </c>
    </row>
    <row r="154" spans="1:19" x14ac:dyDescent="0.3">
      <c r="D154" s="30"/>
      <c r="F154" s="30"/>
      <c r="G154" s="30"/>
    </row>
    <row r="155" spans="1:19" x14ac:dyDescent="0.3">
      <c r="A155" t="s">
        <v>210</v>
      </c>
      <c r="D155" s="62">
        <f>D141+D153</f>
        <v>0</v>
      </c>
      <c r="F155" s="62">
        <f t="shared" ref="F155:G155" si="14">F141+F153</f>
        <v>0</v>
      </c>
      <c r="G155" s="62">
        <f t="shared" si="14"/>
        <v>0</v>
      </c>
    </row>
  </sheetData>
  <mergeCells count="3">
    <mergeCell ref="D1:F1"/>
    <mergeCell ref="D2:F2"/>
    <mergeCell ref="H1:M2"/>
  </mergeCells>
  <dataValidations count="2">
    <dataValidation type="list" allowBlank="1" showInputMessage="1" showErrorMessage="1" sqref="AA1:AA3 J8:O8 E8:H8" xr:uid="{00000000-0002-0000-0300-000000000000}">
      <formula1>$AA$1:$AA$3</formula1>
    </dataValidation>
    <dataValidation type="list" allowBlank="1" showInputMessage="1" showErrorMessage="1" sqref="I8 D8" xr:uid="{00000000-0002-0000-0300-000001000000}">
      <formula1>$AB$1:$AB$3</formula1>
    </dataValidation>
  </dataValidations>
  <pageMargins left="0.7" right="0.7" top="0.75" bottom="0.75" header="0.3" footer="0.3"/>
  <pageSetup scale="59"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Lists!$A$1:$A$3</xm:f>
          </x14:formula1>
          <xm:sqref>P7:P8 L7:O7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C000"/>
  </sheetPr>
  <dimension ref="A1:Q71"/>
  <sheetViews>
    <sheetView zoomScale="85" zoomScaleNormal="85" workbookViewId="0">
      <pane xSplit="1" ySplit="7" topLeftCell="D17" activePane="bottomRight" state="frozen"/>
      <selection pane="topRight" activeCell="B1" sqref="B1"/>
      <selection pane="bottomLeft" activeCell="A7" sqref="A7"/>
      <selection pane="bottomRight" activeCell="H31" sqref="H31"/>
    </sheetView>
  </sheetViews>
  <sheetFormatPr defaultColWidth="9.109375" defaultRowHeight="14.4" x14ac:dyDescent="0.3"/>
  <cols>
    <col min="1" max="1" width="41.6640625" style="35" bestFit="1" customWidth="1"/>
    <col min="2" max="3" width="20.44140625" style="35" customWidth="1"/>
    <col min="4" max="5" width="20.44140625" style="35" bestFit="1" customWidth="1"/>
    <col min="6" max="11" width="20.44140625" style="35" customWidth="1"/>
    <col min="12" max="12" width="29.109375" style="35" customWidth="1"/>
    <col min="13" max="13" width="3" style="35" customWidth="1"/>
    <col min="14" max="14" width="11.5546875" style="35" bestFit="1" customWidth="1"/>
    <col min="15" max="15" width="9.109375" style="35"/>
    <col min="16" max="16" width="12.5546875" style="35" customWidth="1"/>
    <col min="17" max="17" width="12.44140625" style="35" customWidth="1"/>
    <col min="18" max="16384" width="9.109375" style="35"/>
  </cols>
  <sheetData>
    <row r="1" spans="1:17" ht="15" thickBot="1" x14ac:dyDescent="0.35">
      <c r="A1" s="91"/>
      <c r="B1" s="233" t="s">
        <v>56</v>
      </c>
      <c r="C1" s="234"/>
      <c r="D1" s="235"/>
      <c r="E1" s="63"/>
      <c r="F1" s="241" t="s">
        <v>285</v>
      </c>
      <c r="G1" s="254"/>
      <c r="H1" s="254"/>
      <c r="I1" s="254"/>
      <c r="J1" s="255"/>
      <c r="K1"/>
    </row>
    <row r="2" spans="1:17" ht="15" thickBot="1" x14ac:dyDescent="0.35">
      <c r="A2" t="s">
        <v>108</v>
      </c>
      <c r="B2" s="236" t="s">
        <v>57</v>
      </c>
      <c r="C2" s="237"/>
      <c r="D2" s="238"/>
      <c r="F2" s="256"/>
      <c r="G2" s="257"/>
      <c r="H2" s="257"/>
      <c r="I2" s="257"/>
      <c r="J2" s="258"/>
      <c r="K2"/>
    </row>
    <row r="3" spans="1:17" x14ac:dyDescent="0.3">
      <c r="A3"/>
      <c r="B3" s="156"/>
      <c r="C3" s="156"/>
      <c r="D3" s="156"/>
    </row>
    <row r="4" spans="1:17" x14ac:dyDescent="0.3">
      <c r="A4" s="220" t="s">
        <v>111</v>
      </c>
      <c r="B4" s="91"/>
      <c r="C4" s="91"/>
      <c r="D4" s="91"/>
      <c r="E4" s="91"/>
      <c r="F4" s="91"/>
      <c r="G4" s="91"/>
      <c r="H4" s="80"/>
      <c r="I4" s="80"/>
      <c r="J4" s="80"/>
      <c r="K4" s="80"/>
      <c r="L4" s="80"/>
    </row>
    <row r="5" spans="1:17" x14ac:dyDescent="0.3">
      <c r="A5" s="91" t="s">
        <v>112</v>
      </c>
      <c r="B5" s="86"/>
      <c r="C5" s="86"/>
      <c r="D5" s="86"/>
      <c r="E5" s="86"/>
      <c r="F5" s="86"/>
      <c r="G5" s="86"/>
      <c r="H5" s="86"/>
      <c r="I5" s="86"/>
      <c r="J5" s="86"/>
      <c r="K5" s="86"/>
      <c r="L5" s="86"/>
      <c r="N5" s="4" t="s">
        <v>63</v>
      </c>
    </row>
    <row r="6" spans="1:17" x14ac:dyDescent="0.3">
      <c r="A6" s="48" t="s">
        <v>113</v>
      </c>
      <c r="B6" s="57"/>
      <c r="C6" s="57"/>
      <c r="D6" s="57"/>
      <c r="E6" s="57"/>
      <c r="F6" s="57"/>
      <c r="G6" s="57"/>
      <c r="H6" s="57"/>
      <c r="I6" s="57"/>
      <c r="J6" s="57"/>
      <c r="K6" s="57"/>
      <c r="L6" s="57"/>
      <c r="N6" s="45"/>
    </row>
    <row r="7" spans="1:17" x14ac:dyDescent="0.3">
      <c r="A7" s="48" t="s">
        <v>174</v>
      </c>
      <c r="B7" s="80"/>
      <c r="C7" s="80"/>
      <c r="D7" s="80"/>
      <c r="E7" s="80"/>
      <c r="F7" s="80"/>
      <c r="G7" s="80"/>
      <c r="H7" s="80"/>
      <c r="I7" s="80"/>
      <c r="J7" s="80"/>
      <c r="K7" s="80"/>
      <c r="L7" s="80"/>
      <c r="N7" s="45"/>
    </row>
    <row r="8" spans="1:17" x14ac:dyDescent="0.3">
      <c r="A8" s="48" t="s">
        <v>286</v>
      </c>
      <c r="B8" s="80"/>
      <c r="C8" s="80"/>
      <c r="D8" s="80"/>
      <c r="E8" s="80"/>
      <c r="F8" s="80"/>
      <c r="G8" s="80"/>
      <c r="H8" s="80"/>
      <c r="I8" s="80"/>
      <c r="J8" s="80"/>
      <c r="K8" s="80"/>
      <c r="L8" s="80"/>
      <c r="N8" s="45"/>
    </row>
    <row r="9" spans="1:17" x14ac:dyDescent="0.3">
      <c r="A9" s="48" t="s">
        <v>287</v>
      </c>
      <c r="B9" s="80"/>
      <c r="C9" s="80"/>
      <c r="D9" s="80"/>
      <c r="E9" s="80"/>
      <c r="F9" s="80"/>
      <c r="G9" s="80"/>
      <c r="H9" s="80"/>
      <c r="I9" s="80"/>
      <c r="J9" s="80"/>
      <c r="K9" s="80"/>
      <c r="L9" s="80"/>
      <c r="N9" s="45"/>
    </row>
    <row r="10" spans="1:17" x14ac:dyDescent="0.3">
      <c r="A10" s="48" t="s">
        <v>288</v>
      </c>
      <c r="B10" s="73"/>
      <c r="C10" s="73"/>
      <c r="D10" s="73"/>
      <c r="E10" s="73"/>
      <c r="F10" s="73"/>
      <c r="G10" s="73"/>
      <c r="H10" s="73"/>
      <c r="I10" s="73"/>
      <c r="J10" s="73"/>
      <c r="K10" s="73"/>
      <c r="L10" s="73"/>
      <c r="N10" s="45"/>
    </row>
    <row r="11" spans="1:17" x14ac:dyDescent="0.3">
      <c r="A11" s="48" t="s">
        <v>289</v>
      </c>
      <c r="B11" s="80"/>
      <c r="C11" s="80"/>
      <c r="D11" s="80"/>
      <c r="E11" s="80"/>
      <c r="F11" s="80"/>
      <c r="G11" s="80"/>
      <c r="H11" s="80"/>
      <c r="I11" s="80"/>
      <c r="J11" s="80"/>
      <c r="K11" s="80"/>
      <c r="L11" s="80"/>
      <c r="N11" s="45"/>
    </row>
    <row r="12" spans="1:17" x14ac:dyDescent="0.3">
      <c r="A12" s="48" t="s">
        <v>176</v>
      </c>
      <c r="B12" s="80"/>
      <c r="C12" s="80"/>
      <c r="D12" s="80"/>
      <c r="E12" s="80"/>
      <c r="F12" s="80"/>
      <c r="G12" s="80"/>
      <c r="H12" s="80"/>
      <c r="I12" s="80"/>
      <c r="J12" s="80"/>
      <c r="K12" s="80"/>
      <c r="L12" s="80"/>
      <c r="N12" s="45"/>
    </row>
    <row r="13" spans="1:17" x14ac:dyDescent="0.3">
      <c r="A13" s="48" t="s">
        <v>290</v>
      </c>
      <c r="B13" s="59"/>
      <c r="C13" s="59"/>
      <c r="D13" s="59"/>
      <c r="E13" s="59"/>
      <c r="F13" s="59"/>
      <c r="G13" s="59"/>
      <c r="H13" s="59"/>
      <c r="I13" s="59"/>
      <c r="J13" s="59"/>
      <c r="K13" s="59"/>
      <c r="L13" s="59"/>
      <c r="N13" s="46">
        <f t="shared" ref="N13:N22" si="0">SUM(B13:L13)</f>
        <v>0</v>
      </c>
      <c r="P13" s="36"/>
      <c r="Q13" s="36"/>
    </row>
    <row r="14" spans="1:17" x14ac:dyDescent="0.3">
      <c r="A14" s="48" t="s">
        <v>291</v>
      </c>
      <c r="B14" s="59"/>
      <c r="C14" s="59"/>
      <c r="D14" s="59"/>
      <c r="E14" s="59"/>
      <c r="F14" s="59"/>
      <c r="G14" s="59"/>
      <c r="H14" s="59"/>
      <c r="I14" s="59"/>
      <c r="J14" s="59"/>
      <c r="K14" s="59"/>
      <c r="L14" s="59"/>
      <c r="N14" s="46">
        <f t="shared" si="0"/>
        <v>0</v>
      </c>
      <c r="P14" s="36"/>
      <c r="Q14" s="36"/>
    </row>
    <row r="15" spans="1:17" x14ac:dyDescent="0.3">
      <c r="A15" s="48" t="s">
        <v>292</v>
      </c>
      <c r="B15" s="224"/>
      <c r="C15" s="59"/>
      <c r="D15" s="59"/>
      <c r="E15" s="59"/>
      <c r="F15" s="59"/>
      <c r="G15" s="59"/>
      <c r="H15" s="59"/>
      <c r="I15" s="59"/>
      <c r="J15" s="59"/>
      <c r="K15" s="59"/>
      <c r="L15" s="59"/>
      <c r="N15" s="46">
        <f t="shared" si="0"/>
        <v>0</v>
      </c>
    </row>
    <row r="16" spans="1:17" x14ac:dyDescent="0.3">
      <c r="A16" s="48" t="s">
        <v>293</v>
      </c>
      <c r="B16" s="224"/>
      <c r="C16" s="59"/>
      <c r="D16" s="59"/>
      <c r="E16" s="59"/>
      <c r="F16" s="59"/>
      <c r="G16" s="59"/>
      <c r="H16" s="59"/>
      <c r="I16" s="59"/>
      <c r="J16" s="59"/>
      <c r="K16" s="59"/>
      <c r="L16" s="59"/>
      <c r="N16" s="46">
        <f t="shared" si="0"/>
        <v>0</v>
      </c>
    </row>
    <row r="17" spans="1:14" x14ac:dyDescent="0.3">
      <c r="A17" s="48" t="s">
        <v>294</v>
      </c>
      <c r="B17" s="74"/>
      <c r="C17" s="74"/>
      <c r="D17" s="74"/>
      <c r="E17" s="74"/>
      <c r="F17" s="74"/>
      <c r="G17" s="74"/>
      <c r="H17" s="59"/>
      <c r="I17" s="59"/>
      <c r="J17" s="59"/>
      <c r="K17" s="59"/>
      <c r="L17" s="59"/>
      <c r="N17" s="46">
        <f t="shared" si="0"/>
        <v>0</v>
      </c>
    </row>
    <row r="18" spans="1:14" x14ac:dyDescent="0.3">
      <c r="A18" s="48" t="s">
        <v>295</v>
      </c>
      <c r="B18" s="74"/>
      <c r="C18" s="74"/>
      <c r="D18" s="74"/>
      <c r="E18" s="74"/>
      <c r="F18" s="74"/>
      <c r="G18" s="74"/>
      <c r="H18" s="59"/>
      <c r="I18" s="59"/>
      <c r="J18" s="59"/>
      <c r="K18" s="59"/>
      <c r="L18" s="59"/>
      <c r="N18" s="46">
        <f t="shared" si="0"/>
        <v>0</v>
      </c>
    </row>
    <row r="19" spans="1:14" x14ac:dyDescent="0.3">
      <c r="A19" s="48" t="s">
        <v>296</v>
      </c>
      <c r="B19" s="74"/>
      <c r="C19" s="74"/>
      <c r="D19" s="74"/>
      <c r="E19" s="74"/>
      <c r="F19" s="74"/>
      <c r="G19" s="74"/>
      <c r="H19" s="59"/>
      <c r="I19" s="59"/>
      <c r="J19" s="59"/>
      <c r="K19" s="59"/>
      <c r="L19" s="59"/>
      <c r="N19" s="46">
        <f t="shared" si="0"/>
        <v>0</v>
      </c>
    </row>
    <row r="20" spans="1:14" x14ac:dyDescent="0.3">
      <c r="A20" s="48" t="s">
        <v>297</v>
      </c>
      <c r="B20" s="74"/>
      <c r="C20" s="74"/>
      <c r="D20" s="74"/>
      <c r="E20" s="74"/>
      <c r="F20" s="74"/>
      <c r="G20" s="74"/>
      <c r="H20" s="59"/>
      <c r="I20" s="59"/>
      <c r="J20" s="59"/>
      <c r="K20" s="59"/>
      <c r="L20" s="59"/>
      <c r="N20" s="46">
        <f t="shared" si="0"/>
        <v>0</v>
      </c>
    </row>
    <row r="21" spans="1:14" x14ac:dyDescent="0.3">
      <c r="A21" s="48" t="s">
        <v>298</v>
      </c>
      <c r="B21" s="74"/>
      <c r="C21" s="74"/>
      <c r="D21" s="74"/>
      <c r="E21" s="74"/>
      <c r="F21" s="74"/>
      <c r="G21" s="74"/>
      <c r="H21" s="59"/>
      <c r="I21" s="59"/>
      <c r="J21" s="59"/>
      <c r="K21" s="59"/>
      <c r="L21" s="59"/>
      <c r="N21" s="46">
        <f t="shared" si="0"/>
        <v>0</v>
      </c>
    </row>
    <row r="22" spans="1:14" x14ac:dyDescent="0.3">
      <c r="A22" s="48" t="s">
        <v>299</v>
      </c>
      <c r="B22" s="74"/>
      <c r="C22" s="74"/>
      <c r="D22" s="74"/>
      <c r="E22" s="74"/>
      <c r="F22" s="74"/>
      <c r="G22" s="74"/>
      <c r="H22" s="59"/>
      <c r="I22" s="59"/>
      <c r="J22" s="59"/>
      <c r="K22" s="59"/>
      <c r="L22" s="59"/>
      <c r="N22" s="46">
        <f t="shared" si="0"/>
        <v>0</v>
      </c>
    </row>
    <row r="23" spans="1:14" x14ac:dyDescent="0.3">
      <c r="A23" s="48" t="s">
        <v>300</v>
      </c>
      <c r="B23" s="59"/>
      <c r="C23" s="59"/>
      <c r="D23" s="59"/>
      <c r="E23" s="59"/>
      <c r="F23" s="59"/>
      <c r="G23" s="59"/>
      <c r="H23" s="73"/>
      <c r="I23" s="73"/>
      <c r="J23" s="73"/>
      <c r="K23" s="73"/>
      <c r="L23" s="74"/>
      <c r="N23" s="69"/>
    </row>
    <row r="24" spans="1:14" x14ac:dyDescent="0.3">
      <c r="A24" s="48" t="s">
        <v>301</v>
      </c>
      <c r="B24" s="73"/>
      <c r="C24" s="59"/>
      <c r="D24" s="59"/>
      <c r="E24" s="59"/>
      <c r="F24" s="59"/>
      <c r="G24" s="59"/>
      <c r="H24" s="73"/>
      <c r="I24" s="73"/>
      <c r="J24" s="73"/>
      <c r="K24" s="73"/>
      <c r="L24" s="74"/>
      <c r="N24" s="69"/>
    </row>
    <row r="25" spans="1:14" x14ac:dyDescent="0.3">
      <c r="A25" s="48" t="s">
        <v>302</v>
      </c>
      <c r="B25" s="59"/>
      <c r="C25" s="59"/>
      <c r="D25" s="59"/>
      <c r="E25" s="59"/>
      <c r="F25" s="59"/>
      <c r="G25" s="59"/>
      <c r="H25" s="59"/>
      <c r="I25" s="59"/>
      <c r="J25" s="59"/>
      <c r="K25" s="59"/>
      <c r="L25" s="59"/>
      <c r="N25" s="46">
        <f>SUM(B25:L25)</f>
        <v>0</v>
      </c>
    </row>
    <row r="26" spans="1:14" x14ac:dyDescent="0.3">
      <c r="A26" s="48" t="s">
        <v>303</v>
      </c>
      <c r="B26" s="59"/>
      <c r="C26" s="59"/>
      <c r="D26" s="59"/>
      <c r="E26" s="59"/>
      <c r="F26" s="59"/>
      <c r="G26" s="59"/>
      <c r="H26" s="70"/>
      <c r="I26" s="70"/>
      <c r="J26" s="70"/>
      <c r="K26" s="70"/>
      <c r="L26" s="70"/>
      <c r="N26" s="46">
        <f>SUM(B26:L26)</f>
        <v>0</v>
      </c>
    </row>
    <row r="27" spans="1:14" x14ac:dyDescent="0.3">
      <c r="A27" s="48" t="s">
        <v>304</v>
      </c>
      <c r="B27" s="59"/>
      <c r="C27" s="59"/>
      <c r="D27" s="59"/>
      <c r="E27" s="59"/>
      <c r="F27" s="59"/>
      <c r="G27" s="59"/>
      <c r="H27" s="59"/>
      <c r="I27" s="59"/>
      <c r="J27" s="59"/>
      <c r="K27" s="59"/>
      <c r="L27" s="59"/>
      <c r="N27" s="46">
        <f>SUM(B27:L27)</f>
        <v>0</v>
      </c>
    </row>
    <row r="28" spans="1:14" x14ac:dyDescent="0.3">
      <c r="A28" s="48" t="s">
        <v>305</v>
      </c>
      <c r="B28" s="59"/>
      <c r="C28" s="59"/>
      <c r="D28" s="59"/>
      <c r="E28" s="59"/>
      <c r="F28" s="59"/>
      <c r="G28" s="59"/>
      <c r="H28" s="59"/>
      <c r="I28" s="59"/>
      <c r="J28" s="59"/>
      <c r="K28" s="59"/>
      <c r="L28" s="59"/>
      <c r="N28" s="46">
        <f>SUM(B28:L28)</f>
        <v>0</v>
      </c>
    </row>
    <row r="29" spans="1:14" x14ac:dyDescent="0.3">
      <c r="A29" s="48" t="s">
        <v>306</v>
      </c>
      <c r="B29" s="59"/>
      <c r="C29" s="59"/>
      <c r="D29" s="59"/>
      <c r="E29" s="59"/>
      <c r="F29" s="59"/>
      <c r="G29" s="59"/>
      <c r="H29" s="59"/>
      <c r="I29" s="59"/>
      <c r="J29" s="59"/>
      <c r="K29" s="59"/>
      <c r="L29" s="59"/>
      <c r="N29" s="46">
        <f>SUM(B29:L29)</f>
        <v>0</v>
      </c>
    </row>
    <row r="30" spans="1:14" x14ac:dyDescent="0.3">
      <c r="A30" s="48" t="s">
        <v>307</v>
      </c>
      <c r="B30" s="59"/>
      <c r="C30" s="59"/>
      <c r="D30" s="59"/>
      <c r="E30" s="59"/>
      <c r="F30" s="59"/>
      <c r="G30" s="59"/>
      <c r="H30" s="74"/>
      <c r="I30" s="74"/>
      <c r="J30" s="74"/>
      <c r="K30" s="74"/>
      <c r="L30" s="74"/>
      <c r="N30" s="68"/>
    </row>
    <row r="31" spans="1:14" x14ac:dyDescent="0.3">
      <c r="A31" s="48" t="s">
        <v>308</v>
      </c>
      <c r="B31" s="226"/>
      <c r="C31" s="226"/>
      <c r="D31" s="226"/>
      <c r="E31" s="226"/>
      <c r="F31" s="226"/>
      <c r="G31" s="226"/>
      <c r="H31" s="72"/>
      <c r="I31" s="72"/>
      <c r="J31" s="72"/>
      <c r="K31" s="72"/>
      <c r="L31" s="72"/>
      <c r="N31" s="84">
        <f t="shared" ref="N31:N37" si="1">SUM(B31:L31)</f>
        <v>0</v>
      </c>
    </row>
    <row r="32" spans="1:14" x14ac:dyDescent="0.3">
      <c r="A32" s="48" t="s">
        <v>309</v>
      </c>
      <c r="B32" s="59"/>
      <c r="C32" s="59"/>
      <c r="D32" s="59"/>
      <c r="E32" s="59"/>
      <c r="F32" s="59"/>
      <c r="G32" s="59"/>
      <c r="H32" s="59"/>
      <c r="I32" s="59"/>
      <c r="J32" s="59"/>
      <c r="K32" s="59"/>
      <c r="L32" s="59"/>
      <c r="N32" s="46">
        <f t="shared" si="1"/>
        <v>0</v>
      </c>
    </row>
    <row r="33" spans="1:14" x14ac:dyDescent="0.3">
      <c r="A33" s="48" t="s">
        <v>310</v>
      </c>
      <c r="B33" s="59"/>
      <c r="C33" s="59"/>
      <c r="D33" s="59"/>
      <c r="E33" s="59"/>
      <c r="F33" s="59"/>
      <c r="G33" s="59"/>
      <c r="H33" s="73"/>
      <c r="I33" s="73"/>
      <c r="J33" s="73"/>
      <c r="K33" s="73"/>
      <c r="L33" s="73"/>
      <c r="N33" s="69">
        <f t="shared" si="1"/>
        <v>0</v>
      </c>
    </row>
    <row r="34" spans="1:14" x14ac:dyDescent="0.3">
      <c r="A34" s="48" t="s">
        <v>311</v>
      </c>
      <c r="B34" s="59"/>
      <c r="C34" s="59"/>
      <c r="D34" s="59"/>
      <c r="E34" s="59"/>
      <c r="F34" s="59"/>
      <c r="G34" s="59"/>
      <c r="H34" s="59"/>
      <c r="I34" s="59"/>
      <c r="J34" s="59"/>
      <c r="K34" s="59"/>
      <c r="L34" s="59"/>
      <c r="N34" s="46">
        <f t="shared" si="1"/>
        <v>0</v>
      </c>
    </row>
    <row r="35" spans="1:14" x14ac:dyDescent="0.3">
      <c r="A35" s="48" t="s">
        <v>312</v>
      </c>
      <c r="B35" s="59"/>
      <c r="C35" s="59"/>
      <c r="D35" s="59"/>
      <c r="E35" s="59"/>
      <c r="F35" s="59"/>
      <c r="G35" s="59"/>
      <c r="H35" s="59"/>
      <c r="I35" s="59"/>
      <c r="J35" s="59"/>
      <c r="K35" s="59"/>
      <c r="L35" s="59"/>
      <c r="N35" s="46">
        <f t="shared" si="1"/>
        <v>0</v>
      </c>
    </row>
    <row r="36" spans="1:14" x14ac:dyDescent="0.3">
      <c r="A36" s="48" t="s">
        <v>313</v>
      </c>
      <c r="B36" s="59"/>
      <c r="C36" s="59"/>
      <c r="D36" s="59"/>
      <c r="E36" s="59"/>
      <c r="F36" s="59"/>
      <c r="G36" s="59"/>
      <c r="H36" s="85"/>
      <c r="I36" s="85"/>
      <c r="J36" s="85"/>
      <c r="K36" s="85"/>
      <c r="L36" s="85"/>
      <c r="N36" s="69">
        <f t="shared" si="1"/>
        <v>0</v>
      </c>
    </row>
    <row r="37" spans="1:14" x14ac:dyDescent="0.3">
      <c r="A37" s="48" t="s">
        <v>314</v>
      </c>
      <c r="B37" s="59"/>
      <c r="C37" s="59"/>
      <c r="D37" s="59"/>
      <c r="E37" s="59"/>
      <c r="F37" s="59"/>
      <c r="G37" s="59"/>
      <c r="H37" s="59"/>
      <c r="I37" s="59"/>
      <c r="J37" s="59"/>
      <c r="K37" s="59"/>
      <c r="L37" s="59"/>
      <c r="N37" s="46">
        <f t="shared" si="1"/>
        <v>0</v>
      </c>
    </row>
    <row r="38" spans="1:14" x14ac:dyDescent="0.3">
      <c r="A38" s="227" t="s">
        <v>1012</v>
      </c>
      <c r="B38" s="80"/>
      <c r="C38" s="80"/>
      <c r="D38" s="80"/>
      <c r="E38" s="80"/>
      <c r="F38" s="80"/>
      <c r="G38" s="80"/>
    </row>
    <row r="40" spans="1:14" x14ac:dyDescent="0.3">
      <c r="A40" s="86" t="s">
        <v>315</v>
      </c>
      <c r="B40" s="260" t="s">
        <v>62</v>
      </c>
      <c r="C40" s="260"/>
      <c r="D40" s="260"/>
      <c r="E40" s="260"/>
      <c r="F40" s="260"/>
      <c r="G40" s="260"/>
      <c r="H40" s="260"/>
      <c r="I40" s="260"/>
      <c r="J40" s="260"/>
      <c r="K40" s="260"/>
      <c r="L40" s="260"/>
    </row>
    <row r="41" spans="1:14" ht="15.75" customHeight="1" x14ac:dyDescent="0.3">
      <c r="A41" s="252">
        <v>1</v>
      </c>
      <c r="B41" s="253" t="s">
        <v>316</v>
      </c>
      <c r="C41" s="253"/>
      <c r="D41" s="253"/>
      <c r="E41" s="253"/>
      <c r="F41" s="253"/>
      <c r="G41" s="253"/>
      <c r="H41" s="253"/>
      <c r="I41" s="253"/>
      <c r="J41" s="253"/>
      <c r="K41" s="253"/>
      <c r="L41" s="253"/>
    </row>
    <row r="42" spans="1:14" ht="15" customHeight="1" x14ac:dyDescent="0.3">
      <c r="A42" s="252"/>
      <c r="B42" s="253"/>
      <c r="C42" s="253"/>
      <c r="D42" s="253"/>
      <c r="E42" s="253"/>
      <c r="F42" s="253"/>
      <c r="G42" s="253"/>
      <c r="H42" s="253"/>
      <c r="I42" s="253"/>
      <c r="J42" s="253"/>
      <c r="K42" s="253"/>
      <c r="L42" s="253"/>
    </row>
    <row r="43" spans="1:14" ht="15.75" customHeight="1" x14ac:dyDescent="0.3">
      <c r="A43" s="252"/>
      <c r="B43" s="253"/>
      <c r="C43" s="253"/>
      <c r="D43" s="253"/>
      <c r="E43" s="253"/>
      <c r="F43" s="253"/>
      <c r="G43" s="253"/>
      <c r="H43" s="253"/>
      <c r="I43" s="253"/>
      <c r="J43" s="253"/>
      <c r="K43" s="253"/>
      <c r="L43" s="253"/>
    </row>
    <row r="44" spans="1:14" x14ac:dyDescent="0.3">
      <c r="A44" s="71">
        <v>2</v>
      </c>
      <c r="B44" s="251" t="s">
        <v>317</v>
      </c>
      <c r="C44" s="251"/>
      <c r="D44" s="251"/>
      <c r="E44" s="251"/>
      <c r="F44" s="251"/>
      <c r="G44" s="251"/>
      <c r="H44" s="251"/>
      <c r="I44" s="251"/>
      <c r="J44" s="251"/>
      <c r="K44" s="251"/>
      <c r="L44" s="251"/>
    </row>
    <row r="45" spans="1:14" x14ac:dyDescent="0.3">
      <c r="A45" s="71">
        <v>3</v>
      </c>
      <c r="B45" s="251" t="s">
        <v>318</v>
      </c>
      <c r="C45" s="251"/>
      <c r="D45" s="251"/>
      <c r="E45" s="251"/>
      <c r="F45" s="251"/>
      <c r="G45" s="251"/>
      <c r="H45" s="251"/>
      <c r="I45" s="251"/>
      <c r="J45" s="251"/>
      <c r="K45" s="251"/>
      <c r="L45" s="251"/>
    </row>
    <row r="46" spans="1:14" x14ac:dyDescent="0.3">
      <c r="A46" s="71">
        <v>4</v>
      </c>
      <c r="B46" s="251" t="s">
        <v>319</v>
      </c>
      <c r="C46" s="251"/>
      <c r="D46" s="251"/>
      <c r="E46" s="251"/>
      <c r="F46" s="251"/>
      <c r="G46" s="251"/>
      <c r="H46" s="251"/>
      <c r="I46" s="251"/>
      <c r="J46" s="251"/>
      <c r="K46" s="251"/>
      <c r="L46" s="251"/>
    </row>
    <row r="47" spans="1:14" x14ac:dyDescent="0.3">
      <c r="A47" s="71">
        <v>5</v>
      </c>
      <c r="B47" s="251" t="s">
        <v>320</v>
      </c>
      <c r="C47" s="251"/>
      <c r="D47" s="251"/>
      <c r="E47" s="251"/>
      <c r="F47" s="251"/>
      <c r="G47" s="251"/>
      <c r="H47" s="251"/>
      <c r="I47" s="251"/>
      <c r="J47" s="251"/>
      <c r="K47" s="251"/>
      <c r="L47" s="251"/>
    </row>
    <row r="48" spans="1:14" x14ac:dyDescent="0.3">
      <c r="A48" s="71">
        <v>6</v>
      </c>
      <c r="B48" s="251" t="s">
        <v>321</v>
      </c>
      <c r="C48" s="251"/>
      <c r="D48" s="251"/>
      <c r="E48" s="251"/>
      <c r="F48" s="251"/>
      <c r="G48" s="251"/>
      <c r="H48" s="251"/>
      <c r="I48" s="251"/>
      <c r="J48" s="251"/>
      <c r="K48" s="251"/>
      <c r="L48" s="251"/>
    </row>
    <row r="49" spans="1:12" x14ac:dyDescent="0.3">
      <c r="A49" s="71">
        <v>7</v>
      </c>
      <c r="B49" s="251" t="s">
        <v>322</v>
      </c>
      <c r="C49" s="251"/>
      <c r="D49" s="251"/>
      <c r="E49" s="251"/>
      <c r="F49" s="251"/>
      <c r="G49" s="251"/>
      <c r="H49" s="251"/>
      <c r="I49" s="251"/>
      <c r="J49" s="251"/>
      <c r="K49" s="251"/>
      <c r="L49" s="251"/>
    </row>
    <row r="50" spans="1:12" x14ac:dyDescent="0.3">
      <c r="A50" s="71">
        <v>8</v>
      </c>
      <c r="B50" s="251" t="s">
        <v>323</v>
      </c>
      <c r="C50" s="251"/>
      <c r="D50" s="251"/>
      <c r="E50" s="251"/>
      <c r="F50" s="251"/>
      <c r="G50" s="251"/>
      <c r="H50" s="251"/>
      <c r="I50" s="251"/>
      <c r="J50" s="251"/>
      <c r="K50" s="251"/>
      <c r="L50" s="251"/>
    </row>
    <row r="51" spans="1:12" x14ac:dyDescent="0.3">
      <c r="A51" s="71">
        <v>9</v>
      </c>
      <c r="B51" s="251" t="s">
        <v>324</v>
      </c>
      <c r="C51" s="251"/>
      <c r="D51" s="251"/>
      <c r="E51" s="251"/>
      <c r="F51" s="251"/>
      <c r="G51" s="251"/>
      <c r="H51" s="251"/>
      <c r="I51" s="251"/>
      <c r="J51" s="251"/>
      <c r="K51" s="251"/>
      <c r="L51" s="251"/>
    </row>
    <row r="52" spans="1:12" x14ac:dyDescent="0.3">
      <c r="A52" s="71" t="s">
        <v>325</v>
      </c>
      <c r="B52" s="259" t="s">
        <v>326</v>
      </c>
      <c r="C52" s="259"/>
      <c r="D52" s="259"/>
      <c r="E52" s="259"/>
      <c r="F52" s="259"/>
      <c r="G52" s="259"/>
      <c r="H52" s="259"/>
      <c r="I52" s="259"/>
      <c r="J52" s="259"/>
      <c r="K52" s="259"/>
      <c r="L52" s="259"/>
    </row>
    <row r="53" spans="1:12" ht="15" customHeight="1" x14ac:dyDescent="0.3">
      <c r="A53" s="71" t="s">
        <v>327</v>
      </c>
      <c r="B53" s="261" t="s">
        <v>328</v>
      </c>
      <c r="C53" s="262"/>
      <c r="D53" s="262"/>
      <c r="E53" s="262"/>
      <c r="F53" s="262"/>
      <c r="G53" s="262"/>
      <c r="H53" s="262"/>
      <c r="I53" s="262"/>
      <c r="J53" s="262"/>
      <c r="K53" s="262"/>
      <c r="L53" s="262"/>
    </row>
    <row r="54" spans="1:12" x14ac:dyDescent="0.3">
      <c r="A54" s="71" t="s">
        <v>329</v>
      </c>
      <c r="B54" s="251" t="s">
        <v>330</v>
      </c>
      <c r="C54" s="251"/>
      <c r="D54" s="251"/>
      <c r="E54" s="251"/>
      <c r="F54" s="251"/>
      <c r="G54" s="251"/>
      <c r="H54" s="251"/>
      <c r="I54" s="251"/>
      <c r="J54" s="251"/>
      <c r="K54" s="251"/>
      <c r="L54" s="251"/>
    </row>
    <row r="55" spans="1:12" x14ac:dyDescent="0.3">
      <c r="A55" s="71" t="s">
        <v>331</v>
      </c>
      <c r="B55" s="251" t="s">
        <v>332</v>
      </c>
      <c r="C55" s="251"/>
      <c r="D55" s="251"/>
      <c r="E55" s="251"/>
      <c r="F55" s="251"/>
      <c r="G55" s="251"/>
      <c r="H55" s="251"/>
      <c r="I55" s="251"/>
      <c r="J55" s="251"/>
      <c r="K55" s="251"/>
      <c r="L55" s="251"/>
    </row>
    <row r="56" spans="1:12" x14ac:dyDescent="0.3">
      <c r="A56" s="71" t="s">
        <v>333</v>
      </c>
      <c r="B56" s="251" t="s">
        <v>334</v>
      </c>
      <c r="C56" s="251"/>
      <c r="D56" s="251"/>
      <c r="E56" s="251"/>
      <c r="F56" s="251"/>
      <c r="G56" s="251"/>
      <c r="H56" s="251"/>
      <c r="I56" s="251"/>
      <c r="J56" s="251"/>
      <c r="K56" s="251"/>
      <c r="L56" s="251"/>
    </row>
    <row r="57" spans="1:12" x14ac:dyDescent="0.3">
      <c r="A57" s="71" t="s">
        <v>335</v>
      </c>
      <c r="B57" s="251" t="s">
        <v>336</v>
      </c>
      <c r="C57" s="251"/>
      <c r="D57" s="251"/>
      <c r="E57" s="251"/>
      <c r="F57" s="251"/>
      <c r="G57" s="251"/>
      <c r="H57" s="251"/>
      <c r="I57" s="251"/>
      <c r="J57" s="251"/>
      <c r="K57" s="251"/>
      <c r="L57" s="251"/>
    </row>
    <row r="58" spans="1:12" ht="15" customHeight="1" x14ac:dyDescent="0.3">
      <c r="A58" s="71" t="s">
        <v>337</v>
      </c>
      <c r="B58" s="253" t="s">
        <v>338</v>
      </c>
      <c r="C58" s="253"/>
      <c r="D58" s="253"/>
      <c r="E58" s="253"/>
      <c r="F58" s="253"/>
      <c r="G58" s="253"/>
      <c r="H58" s="253"/>
      <c r="I58" s="253"/>
      <c r="J58" s="253"/>
      <c r="K58" s="253"/>
      <c r="L58" s="253"/>
    </row>
    <row r="59" spans="1:12" x14ac:dyDescent="0.3">
      <c r="A59" s="71" t="s">
        <v>339</v>
      </c>
      <c r="B59" s="259" t="s">
        <v>340</v>
      </c>
      <c r="C59" s="259"/>
      <c r="D59" s="259"/>
      <c r="E59" s="259"/>
      <c r="F59" s="259"/>
      <c r="G59" s="259"/>
      <c r="H59" s="259"/>
      <c r="I59" s="259"/>
      <c r="J59" s="259"/>
      <c r="K59" s="259"/>
      <c r="L59" s="259"/>
    </row>
    <row r="60" spans="1:12" x14ac:dyDescent="0.3">
      <c r="A60" s="71" t="s">
        <v>6</v>
      </c>
      <c r="B60" s="251" t="s">
        <v>341</v>
      </c>
      <c r="C60" s="251"/>
      <c r="D60" s="251"/>
      <c r="E60" s="251"/>
      <c r="F60" s="251"/>
      <c r="G60" s="251"/>
      <c r="H60" s="251"/>
      <c r="I60" s="251"/>
      <c r="J60" s="251"/>
      <c r="K60" s="251"/>
      <c r="L60" s="251"/>
    </row>
    <row r="61" spans="1:12" x14ac:dyDescent="0.3">
      <c r="A61" s="71" t="s">
        <v>342</v>
      </c>
      <c r="B61" s="251" t="s">
        <v>343</v>
      </c>
      <c r="C61" s="251"/>
      <c r="D61" s="251"/>
      <c r="E61" s="251"/>
      <c r="F61" s="251"/>
      <c r="G61" s="251"/>
      <c r="H61" s="251"/>
      <c r="I61" s="251"/>
      <c r="J61" s="251"/>
      <c r="K61" s="251"/>
      <c r="L61" s="251"/>
    </row>
    <row r="62" spans="1:12" x14ac:dyDescent="0.3">
      <c r="A62" s="71" t="s">
        <v>344</v>
      </c>
      <c r="B62" s="251" t="s">
        <v>345</v>
      </c>
      <c r="C62" s="251"/>
      <c r="D62" s="251"/>
      <c r="E62" s="251"/>
      <c r="F62" s="251"/>
      <c r="G62" s="251"/>
      <c r="H62" s="251"/>
      <c r="I62" s="251"/>
      <c r="J62" s="251"/>
      <c r="K62" s="251"/>
      <c r="L62" s="251"/>
    </row>
    <row r="63" spans="1:12" x14ac:dyDescent="0.3">
      <c r="A63" s="71" t="s">
        <v>346</v>
      </c>
      <c r="B63" s="251" t="s">
        <v>347</v>
      </c>
      <c r="C63" s="251"/>
      <c r="D63" s="251"/>
      <c r="E63" s="251"/>
      <c r="F63" s="251"/>
      <c r="G63" s="251"/>
      <c r="H63" s="251"/>
      <c r="I63" s="251"/>
      <c r="J63" s="251"/>
      <c r="K63" s="251"/>
      <c r="L63" s="251"/>
    </row>
    <row r="64" spans="1:12" x14ac:dyDescent="0.3">
      <c r="A64" s="71" t="s">
        <v>348</v>
      </c>
      <c r="B64" s="251" t="s">
        <v>349</v>
      </c>
      <c r="C64" s="251"/>
      <c r="D64" s="251"/>
      <c r="E64" s="251"/>
      <c r="F64" s="251"/>
      <c r="G64" s="251"/>
      <c r="H64" s="251"/>
      <c r="I64" s="251"/>
      <c r="J64" s="251"/>
      <c r="K64" s="251"/>
      <c r="L64" s="251"/>
    </row>
    <row r="65" spans="1:12" x14ac:dyDescent="0.3">
      <c r="A65" s="71" t="s">
        <v>3</v>
      </c>
      <c r="B65" s="251" t="s">
        <v>350</v>
      </c>
      <c r="C65" s="251"/>
      <c r="D65" s="251"/>
      <c r="E65" s="251"/>
      <c r="F65" s="251"/>
      <c r="G65" s="251"/>
      <c r="H65" s="251"/>
      <c r="I65" s="251"/>
      <c r="J65" s="251"/>
      <c r="K65" s="251"/>
      <c r="L65" s="251"/>
    </row>
    <row r="66" spans="1:12" x14ac:dyDescent="0.3">
      <c r="A66" s="71" t="s">
        <v>351</v>
      </c>
      <c r="B66" s="251" t="s">
        <v>352</v>
      </c>
      <c r="C66" s="251"/>
      <c r="D66" s="251"/>
      <c r="E66" s="251"/>
      <c r="F66" s="251"/>
      <c r="G66" s="251"/>
      <c r="H66" s="251"/>
      <c r="I66" s="251"/>
      <c r="J66" s="251"/>
      <c r="K66" s="251"/>
      <c r="L66" s="251"/>
    </row>
    <row r="67" spans="1:12" x14ac:dyDescent="0.3">
      <c r="A67" s="71" t="s">
        <v>353</v>
      </c>
      <c r="B67" s="251" t="s">
        <v>354</v>
      </c>
      <c r="C67" s="251"/>
      <c r="D67" s="251"/>
      <c r="E67" s="251"/>
      <c r="F67" s="251"/>
      <c r="G67" s="251"/>
      <c r="H67" s="251"/>
      <c r="I67" s="251"/>
      <c r="J67" s="251"/>
      <c r="K67" s="251"/>
      <c r="L67" s="251"/>
    </row>
    <row r="68" spans="1:12" x14ac:dyDescent="0.3">
      <c r="A68" s="71" t="s">
        <v>2</v>
      </c>
      <c r="B68" s="251" t="s">
        <v>355</v>
      </c>
      <c r="C68" s="251"/>
      <c r="D68" s="251"/>
      <c r="E68" s="251"/>
      <c r="F68" s="251"/>
      <c r="G68" s="251"/>
      <c r="H68" s="251"/>
      <c r="I68" s="251"/>
      <c r="J68" s="251"/>
      <c r="K68" s="251"/>
      <c r="L68" s="251"/>
    </row>
    <row r="69" spans="1:12" x14ac:dyDescent="0.3">
      <c r="A69" s="71" t="s">
        <v>0</v>
      </c>
      <c r="B69" s="251" t="s">
        <v>356</v>
      </c>
      <c r="C69" s="251"/>
      <c r="D69" s="251"/>
      <c r="E69" s="251"/>
      <c r="F69" s="251"/>
      <c r="G69" s="251"/>
      <c r="H69" s="251"/>
      <c r="I69" s="251"/>
      <c r="J69" s="251"/>
      <c r="K69" s="251"/>
      <c r="L69" s="251"/>
    </row>
    <row r="70" spans="1:12" x14ac:dyDescent="0.3">
      <c r="A70" s="71" t="s">
        <v>357</v>
      </c>
      <c r="B70" s="251" t="s">
        <v>358</v>
      </c>
      <c r="C70" s="251"/>
      <c r="D70" s="251"/>
      <c r="E70" s="251"/>
      <c r="F70" s="251"/>
      <c r="G70" s="251"/>
      <c r="H70" s="251"/>
      <c r="I70" s="251"/>
      <c r="J70" s="251"/>
      <c r="K70" s="251"/>
      <c r="L70" s="251"/>
    </row>
    <row r="71" spans="1:12" x14ac:dyDescent="0.3">
      <c r="A71" s="71" t="s">
        <v>359</v>
      </c>
      <c r="B71" s="251" t="s">
        <v>360</v>
      </c>
      <c r="C71" s="251"/>
      <c r="D71" s="251"/>
      <c r="E71" s="251"/>
      <c r="F71" s="251"/>
      <c r="G71" s="251"/>
      <c r="H71" s="251"/>
      <c r="I71" s="251"/>
      <c r="J71" s="251"/>
      <c r="K71" s="251"/>
      <c r="L71" s="251"/>
    </row>
  </sheetData>
  <sheetProtection formatCells="0" formatColumns="0" formatRows="0" insertColumns="0" insertRows="0" insertHyperlinks="0" deleteColumns="0" deleteRows="0" sort="0" autoFilter="0" pivotTables="0"/>
  <mergeCells count="34">
    <mergeCell ref="B71:L71"/>
    <mergeCell ref="B58:L58"/>
    <mergeCell ref="B40:L40"/>
    <mergeCell ref="B65:L65"/>
    <mergeCell ref="B66:L66"/>
    <mergeCell ref="B67:L67"/>
    <mergeCell ref="B68:L68"/>
    <mergeCell ref="B69:L69"/>
    <mergeCell ref="B70:L70"/>
    <mergeCell ref="B59:L59"/>
    <mergeCell ref="B60:L60"/>
    <mergeCell ref="B61:L61"/>
    <mergeCell ref="B62:L62"/>
    <mergeCell ref="B63:L63"/>
    <mergeCell ref="B64:L64"/>
    <mergeCell ref="B53:L53"/>
    <mergeCell ref="B54:L54"/>
    <mergeCell ref="B55:L55"/>
    <mergeCell ref="B56:L56"/>
    <mergeCell ref="B57:L57"/>
    <mergeCell ref="B47:L47"/>
    <mergeCell ref="B48:L48"/>
    <mergeCell ref="B49:L49"/>
    <mergeCell ref="B50:L50"/>
    <mergeCell ref="B51:L51"/>
    <mergeCell ref="B52:L52"/>
    <mergeCell ref="B45:L45"/>
    <mergeCell ref="B46:L46"/>
    <mergeCell ref="B1:D1"/>
    <mergeCell ref="B2:D2"/>
    <mergeCell ref="A41:A43"/>
    <mergeCell ref="B41:L43"/>
    <mergeCell ref="B44:L44"/>
    <mergeCell ref="F1:J2"/>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Lists!$B$1:$B$51</xm:f>
          </x14:formula1>
          <xm:sqref>H33:M33 H10:L10</xm:sqref>
        </x14:dataValidation>
        <x14:dataValidation type="list" allowBlank="1" showInputMessage="1" showErrorMessage="1" xr:uid="{00000000-0002-0000-0400-000001000000}">
          <x14:formula1>
            <xm:f>Lists!$A$1:$A$2</xm:f>
          </x14:formula1>
          <xm:sqref>H6:M6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C000"/>
  </sheetPr>
  <dimension ref="A1:G25"/>
  <sheetViews>
    <sheetView zoomScale="85" zoomScaleNormal="85" workbookViewId="0">
      <pane xSplit="1" ySplit="7" topLeftCell="B8" activePane="bottomRight" state="frozen"/>
      <selection pane="topRight" activeCell="B1" sqref="B1"/>
      <selection pane="bottomLeft" activeCell="A7" sqref="A7"/>
      <selection pane="bottomRight" activeCell="H5" sqref="H5"/>
    </sheetView>
  </sheetViews>
  <sheetFormatPr defaultColWidth="9.109375" defaultRowHeight="14.4" x14ac:dyDescent="0.3"/>
  <cols>
    <col min="1" max="1" width="41.6640625" style="35" bestFit="1" customWidth="1"/>
    <col min="2" max="3" width="25.6640625" style="35" customWidth="1"/>
    <col min="4" max="4" width="9.109375" style="35" hidden="1" customWidth="1"/>
    <col min="5" max="5" width="3" style="35" customWidth="1"/>
    <col min="6" max="6" width="11.5546875" style="35" bestFit="1" customWidth="1"/>
    <col min="7" max="16384" width="9.109375" style="35"/>
  </cols>
  <sheetData>
    <row r="1" spans="1:7" ht="15" thickBot="1" x14ac:dyDescent="0.35">
      <c r="A1" t="s">
        <v>108</v>
      </c>
      <c r="B1" s="263" t="s">
        <v>56</v>
      </c>
      <c r="C1" s="264"/>
    </row>
    <row r="2" spans="1:7" x14ac:dyDescent="0.3">
      <c r="A2" t="s">
        <v>108</v>
      </c>
      <c r="B2" s="265" t="s">
        <v>57</v>
      </c>
      <c r="C2" s="266"/>
    </row>
    <row r="3" spans="1:7" x14ac:dyDescent="0.3">
      <c r="A3"/>
      <c r="B3" s="156"/>
      <c r="C3" s="156"/>
    </row>
    <row r="4" spans="1:7" x14ac:dyDescent="0.3">
      <c r="A4" s="220" t="s">
        <v>111</v>
      </c>
      <c r="B4" s="91"/>
      <c r="C4" s="91"/>
    </row>
    <row r="5" spans="1:7" x14ac:dyDescent="0.3">
      <c r="A5" s="91" t="s">
        <v>112</v>
      </c>
    </row>
    <row r="6" spans="1:7" x14ac:dyDescent="0.3">
      <c r="F6" s="4" t="s">
        <v>63</v>
      </c>
    </row>
    <row r="7" spans="1:7" x14ac:dyDescent="0.3">
      <c r="A7" s="48" t="s">
        <v>113</v>
      </c>
      <c r="B7" s="57"/>
      <c r="C7" s="57"/>
      <c r="F7" s="45"/>
    </row>
    <row r="8" spans="1:7" x14ac:dyDescent="0.3">
      <c r="A8" s="48" t="s">
        <v>361</v>
      </c>
      <c r="B8" s="59"/>
      <c r="C8" s="59"/>
      <c r="F8" s="46">
        <f>SUM(B8:D8)</f>
        <v>0</v>
      </c>
    </row>
    <row r="9" spans="1:7" x14ac:dyDescent="0.3">
      <c r="A9" s="48" t="s">
        <v>362</v>
      </c>
      <c r="B9" s="59"/>
      <c r="C9" s="59"/>
      <c r="F9" s="46">
        <f>SUM(B9:D9)</f>
        <v>0</v>
      </c>
    </row>
    <row r="10" spans="1:7" x14ac:dyDescent="0.3">
      <c r="A10" s="48" t="s">
        <v>363</v>
      </c>
      <c r="B10" s="59"/>
      <c r="C10" s="59"/>
      <c r="F10" s="46">
        <f>SUM(B10:D10)</f>
        <v>0</v>
      </c>
    </row>
    <row r="11" spans="1:7" x14ac:dyDescent="0.3">
      <c r="A11" s="48" t="s">
        <v>364</v>
      </c>
      <c r="B11" s="59"/>
      <c r="C11" s="59"/>
      <c r="F11" s="46">
        <f>SUM(B11:D11)</f>
        <v>0</v>
      </c>
    </row>
    <row r="12" spans="1:7" x14ac:dyDescent="0.3">
      <c r="A12" s="48" t="s">
        <v>365</v>
      </c>
      <c r="B12" s="59"/>
      <c r="C12" s="59"/>
      <c r="F12" s="46">
        <f>SUM(B12:D12)</f>
        <v>0</v>
      </c>
    </row>
    <row r="13" spans="1:7" x14ac:dyDescent="0.3">
      <c r="A13" s="48" t="s">
        <v>366</v>
      </c>
      <c r="B13" s="59"/>
      <c r="C13" s="59"/>
      <c r="F13" s="46">
        <f t="shared" ref="F13:F14" si="0">SUM(B13:D13)</f>
        <v>0</v>
      </c>
    </row>
    <row r="14" spans="1:7" x14ac:dyDescent="0.3">
      <c r="A14" s="48" t="s">
        <v>367</v>
      </c>
      <c r="B14" s="59"/>
      <c r="C14" s="59"/>
      <c r="F14" s="46">
        <f t="shared" si="0"/>
        <v>0</v>
      </c>
    </row>
    <row r="16" spans="1:7" x14ac:dyDescent="0.3">
      <c r="A16" s="131" t="s">
        <v>368</v>
      </c>
      <c r="B16" s="46">
        <f>B10*0.85</f>
        <v>0</v>
      </c>
      <c r="C16" s="46">
        <f>C10*0.85</f>
        <v>0</v>
      </c>
      <c r="F16" s="46">
        <f>SUM(B16:D16)</f>
        <v>0</v>
      </c>
      <c r="G16" s="35" t="s">
        <v>369</v>
      </c>
    </row>
    <row r="17" spans="1:7" x14ac:dyDescent="0.3">
      <c r="A17" s="131" t="s">
        <v>370</v>
      </c>
      <c r="B17" s="59"/>
      <c r="C17" s="59"/>
      <c r="F17" s="46">
        <f>SUM(B17:D17)</f>
        <v>0</v>
      </c>
      <c r="G17" s="35" t="s">
        <v>371</v>
      </c>
    </row>
    <row r="19" spans="1:7" ht="15" thickBot="1" x14ac:dyDescent="0.35"/>
    <row r="20" spans="1:7" x14ac:dyDescent="0.3">
      <c r="A20" s="267" t="s">
        <v>372</v>
      </c>
    </row>
    <row r="21" spans="1:7" x14ac:dyDescent="0.3">
      <c r="A21" s="268"/>
    </row>
    <row r="22" spans="1:7" x14ac:dyDescent="0.3">
      <c r="A22" s="268"/>
    </row>
    <row r="23" spans="1:7" x14ac:dyDescent="0.3">
      <c r="A23" s="268"/>
    </row>
    <row r="24" spans="1:7" x14ac:dyDescent="0.3">
      <c r="A24" s="268"/>
    </row>
    <row r="25" spans="1:7" ht="15" thickBot="1" x14ac:dyDescent="0.35">
      <c r="A25" s="269"/>
    </row>
  </sheetData>
  <sheetProtection formatCells="0" formatColumns="0" formatRows="0" insertColumns="0" insertRows="0" insertHyperlinks="0" deleteColumns="0" deleteRows="0" sort="0" autoFilter="0" pivotTables="0"/>
  <mergeCells count="3">
    <mergeCell ref="B1:C1"/>
    <mergeCell ref="B2:C2"/>
    <mergeCell ref="A20:A25"/>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Lists!$A$1:$A$2</xm:f>
          </x14:formula1>
          <xm:sqref>D7:E7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1"/>
  </sheetPr>
  <dimension ref="A1:BP223"/>
  <sheetViews>
    <sheetView workbookViewId="0">
      <pane xSplit="3" ySplit="6" topLeftCell="D7" activePane="bottomRight" state="frozen"/>
      <selection pane="topRight" activeCell="C1" sqref="C1"/>
      <selection pane="bottomLeft" activeCell="A3" sqref="A3"/>
      <selection pane="bottomRight" activeCell="B8" sqref="B8"/>
    </sheetView>
  </sheetViews>
  <sheetFormatPr defaultRowHeight="14.4" x14ac:dyDescent="0.3"/>
  <cols>
    <col min="1" max="2" width="19.33203125" customWidth="1"/>
    <col min="3" max="3" width="10.88671875" bestFit="1" customWidth="1"/>
    <col min="4" max="4" width="3" customWidth="1"/>
    <col min="5" max="6" width="20.6640625" customWidth="1"/>
    <col min="7" max="7" width="21.109375" bestFit="1" customWidth="1"/>
    <col min="8" max="17" width="20.6640625" customWidth="1"/>
    <col min="18" max="18" width="23.44140625" bestFit="1" customWidth="1"/>
    <col min="19" max="19" width="22" bestFit="1" customWidth="1"/>
    <col min="20" max="30" width="20.6640625" customWidth="1"/>
    <col min="31" max="31" width="23.5546875" bestFit="1" customWidth="1"/>
    <col min="32" max="64" width="20.6640625" customWidth="1"/>
  </cols>
  <sheetData>
    <row r="1" spans="1:68" x14ac:dyDescent="0.3">
      <c r="B1" t="s">
        <v>373</v>
      </c>
      <c r="C1" s="3" t="s">
        <v>61</v>
      </c>
      <c r="E1" s="4">
        <v>1</v>
      </c>
      <c r="F1" s="4">
        <v>2</v>
      </c>
      <c r="G1" s="4">
        <v>3</v>
      </c>
      <c r="H1" s="5"/>
      <c r="I1" s="4">
        <v>4</v>
      </c>
      <c r="J1" s="4" t="s">
        <v>374</v>
      </c>
      <c r="K1" s="4" t="s">
        <v>73</v>
      </c>
      <c r="L1" s="4">
        <v>6</v>
      </c>
      <c r="M1" s="4">
        <v>7</v>
      </c>
      <c r="N1" s="4" t="s">
        <v>375</v>
      </c>
      <c r="O1" s="4" t="s">
        <v>376</v>
      </c>
      <c r="P1" s="4" t="s">
        <v>377</v>
      </c>
      <c r="Q1" s="4">
        <v>9</v>
      </c>
      <c r="R1" s="4" t="s">
        <v>378</v>
      </c>
      <c r="S1" s="4" t="s">
        <v>379</v>
      </c>
      <c r="T1" s="4" t="s">
        <v>380</v>
      </c>
      <c r="U1" s="4"/>
      <c r="V1" s="4" t="s">
        <v>381</v>
      </c>
      <c r="W1" s="4" t="s">
        <v>382</v>
      </c>
      <c r="X1" s="4" t="s">
        <v>383</v>
      </c>
      <c r="Y1" s="4" t="s">
        <v>384</v>
      </c>
      <c r="Z1" s="4">
        <v>11</v>
      </c>
      <c r="AA1" s="4" t="s">
        <v>385</v>
      </c>
      <c r="AB1" s="4" t="s">
        <v>386</v>
      </c>
      <c r="AC1" s="4" t="s">
        <v>387</v>
      </c>
      <c r="AD1" s="4" t="s">
        <v>388</v>
      </c>
      <c r="AE1" s="4" t="s">
        <v>389</v>
      </c>
      <c r="AF1" s="4" t="s">
        <v>390</v>
      </c>
      <c r="AG1" s="4" t="s">
        <v>391</v>
      </c>
      <c r="AH1" s="4" t="s">
        <v>392</v>
      </c>
      <c r="AI1" s="4" t="s">
        <v>393</v>
      </c>
      <c r="AJ1" s="4" t="s">
        <v>394</v>
      </c>
      <c r="AK1" s="4" t="s">
        <v>395</v>
      </c>
      <c r="AL1" s="4"/>
      <c r="AM1" s="4" t="s">
        <v>396</v>
      </c>
      <c r="AN1" s="4"/>
      <c r="AO1" s="4" t="s">
        <v>397</v>
      </c>
      <c r="AP1" s="4"/>
      <c r="AQ1" s="4"/>
      <c r="AR1" s="4"/>
      <c r="AS1" s="4">
        <v>13</v>
      </c>
      <c r="AT1" s="4" t="s">
        <v>398</v>
      </c>
      <c r="AU1" s="4" t="s">
        <v>399</v>
      </c>
      <c r="AV1" s="4" t="s">
        <v>400</v>
      </c>
      <c r="AW1" s="4" t="s">
        <v>401</v>
      </c>
      <c r="AX1" s="4" t="s">
        <v>402</v>
      </c>
      <c r="AY1" s="4" t="s">
        <v>403</v>
      </c>
      <c r="AZ1" s="4" t="s">
        <v>404</v>
      </c>
      <c r="BA1" s="4" t="s">
        <v>405</v>
      </c>
      <c r="BB1" s="4" t="s">
        <v>406</v>
      </c>
      <c r="BC1" s="4" t="s">
        <v>407</v>
      </c>
      <c r="BD1" s="4" t="s">
        <v>408</v>
      </c>
      <c r="BE1" s="4" t="s">
        <v>409</v>
      </c>
      <c r="BF1" s="4" t="s">
        <v>410</v>
      </c>
      <c r="BG1" s="4" t="s">
        <v>411</v>
      </c>
      <c r="BH1" s="4" t="s">
        <v>412</v>
      </c>
      <c r="BI1" s="4" t="s">
        <v>413</v>
      </c>
      <c r="BJ1" s="4" t="s">
        <v>414</v>
      </c>
      <c r="BK1" s="4" t="s">
        <v>415</v>
      </c>
      <c r="BL1" s="4" t="s">
        <v>416</v>
      </c>
      <c r="BM1" s="4"/>
      <c r="BN1" s="4"/>
      <c r="BO1" s="4"/>
      <c r="BP1" s="4"/>
    </row>
    <row r="2" spans="1:68" x14ac:dyDescent="0.3">
      <c r="B2" t="s">
        <v>417</v>
      </c>
      <c r="C2" s="3" t="s">
        <v>61</v>
      </c>
      <c r="E2" s="4">
        <v>1</v>
      </c>
      <c r="F2" s="4">
        <v>2</v>
      </c>
      <c r="G2" s="4">
        <v>3</v>
      </c>
      <c r="H2" s="4">
        <v>4</v>
      </c>
      <c r="I2" s="4">
        <v>5</v>
      </c>
      <c r="J2" s="4" t="s">
        <v>418</v>
      </c>
      <c r="K2" s="4" t="s">
        <v>75</v>
      </c>
      <c r="L2" s="4">
        <v>7</v>
      </c>
      <c r="M2" s="4">
        <v>8</v>
      </c>
      <c r="N2" s="4" t="s">
        <v>419</v>
      </c>
      <c r="O2" s="4" t="s">
        <v>420</v>
      </c>
      <c r="P2" s="4" t="s">
        <v>421</v>
      </c>
      <c r="Q2" s="4">
        <v>10</v>
      </c>
      <c r="R2" s="4" t="s">
        <v>422</v>
      </c>
      <c r="S2" s="4" t="s">
        <v>423</v>
      </c>
      <c r="T2" s="4" t="s">
        <v>424</v>
      </c>
      <c r="U2" s="4" t="s">
        <v>425</v>
      </c>
      <c r="V2" s="4" t="s">
        <v>426</v>
      </c>
      <c r="W2" s="4" t="s">
        <v>427</v>
      </c>
      <c r="X2" s="4" t="s">
        <v>428</v>
      </c>
      <c r="Y2" s="4" t="s">
        <v>429</v>
      </c>
      <c r="Z2" s="4">
        <v>12</v>
      </c>
      <c r="AA2" s="4" t="s">
        <v>430</v>
      </c>
      <c r="AB2" s="4" t="s">
        <v>431</v>
      </c>
      <c r="AC2" s="4" t="s">
        <v>432</v>
      </c>
      <c r="AD2" s="4" t="s">
        <v>433</v>
      </c>
      <c r="AE2" s="4" t="s">
        <v>434</v>
      </c>
      <c r="AF2" s="4" t="s">
        <v>435</v>
      </c>
      <c r="AG2" s="4" t="s">
        <v>436</v>
      </c>
      <c r="AH2" s="4" t="s">
        <v>437</v>
      </c>
      <c r="AI2" s="4" t="s">
        <v>438</v>
      </c>
      <c r="AJ2" s="4" t="s">
        <v>439</v>
      </c>
      <c r="AK2" s="4"/>
      <c r="AL2" s="4" t="s">
        <v>440</v>
      </c>
      <c r="AM2" s="4" t="s">
        <v>441</v>
      </c>
      <c r="AN2" s="4" t="s">
        <v>442</v>
      </c>
      <c r="AO2" s="4" t="s">
        <v>443</v>
      </c>
      <c r="AP2" s="4" t="s">
        <v>444</v>
      </c>
      <c r="AQ2" s="4" t="s">
        <v>445</v>
      </c>
      <c r="AR2" s="4" t="s">
        <v>446</v>
      </c>
      <c r="AS2" s="4">
        <v>15</v>
      </c>
      <c r="AT2" s="4" t="s">
        <v>447</v>
      </c>
      <c r="AU2" s="4" t="s">
        <v>448</v>
      </c>
      <c r="AV2" s="4" t="s">
        <v>449</v>
      </c>
      <c r="AW2" s="4" t="s">
        <v>450</v>
      </c>
      <c r="AX2" s="4" t="s">
        <v>451</v>
      </c>
      <c r="AY2" s="4" t="s">
        <v>452</v>
      </c>
      <c r="AZ2" s="4" t="s">
        <v>453</v>
      </c>
      <c r="BA2" s="4" t="s">
        <v>454</v>
      </c>
      <c r="BB2" s="4" t="s">
        <v>455</v>
      </c>
      <c r="BC2" s="4" t="s">
        <v>456</v>
      </c>
      <c r="BD2" s="4" t="s">
        <v>457</v>
      </c>
      <c r="BE2" s="4">
        <v>19</v>
      </c>
      <c r="BF2" s="4" t="s">
        <v>458</v>
      </c>
      <c r="BG2" s="4" t="s">
        <v>459</v>
      </c>
      <c r="BH2" s="4" t="s">
        <v>460</v>
      </c>
      <c r="BI2" s="4" t="s">
        <v>461</v>
      </c>
      <c r="BJ2" s="4" t="s">
        <v>462</v>
      </c>
      <c r="BK2" s="4" t="s">
        <v>463</v>
      </c>
      <c r="BL2" s="4" t="s">
        <v>464</v>
      </c>
      <c r="BM2" s="4"/>
      <c r="BN2" s="4"/>
      <c r="BO2" s="4"/>
      <c r="BP2" s="4"/>
    </row>
    <row r="3" spans="1:68" x14ac:dyDescent="0.3">
      <c r="B3" t="s">
        <v>465</v>
      </c>
      <c r="C3" s="3" t="s">
        <v>61</v>
      </c>
      <c r="E3" s="4">
        <v>6</v>
      </c>
      <c r="F3" s="4">
        <v>7</v>
      </c>
      <c r="G3" s="4">
        <v>8</v>
      </c>
      <c r="H3" s="5"/>
      <c r="I3" s="4">
        <v>1</v>
      </c>
      <c r="J3" s="4" t="s">
        <v>466</v>
      </c>
      <c r="K3" s="4" t="s">
        <v>67</v>
      </c>
      <c r="L3" s="4"/>
      <c r="M3" s="4">
        <v>3</v>
      </c>
      <c r="N3" s="4" t="s">
        <v>467</v>
      </c>
      <c r="O3" s="4" t="s">
        <v>71</v>
      </c>
      <c r="P3" s="4" t="s">
        <v>468</v>
      </c>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v>13</v>
      </c>
      <c r="AT3" s="4"/>
      <c r="AU3" s="4" t="s">
        <v>445</v>
      </c>
      <c r="AV3" s="4" t="s">
        <v>385</v>
      </c>
      <c r="AW3" s="4"/>
      <c r="AX3" s="4"/>
      <c r="AY3" s="4"/>
      <c r="AZ3" s="4"/>
      <c r="BA3" s="4"/>
      <c r="BB3" s="4" t="s">
        <v>444</v>
      </c>
      <c r="BC3" s="4"/>
      <c r="BD3" s="4"/>
      <c r="BE3" s="4"/>
      <c r="BF3" s="4"/>
      <c r="BG3" s="4"/>
      <c r="BH3" s="4"/>
      <c r="BI3" s="4"/>
      <c r="BJ3" s="4"/>
      <c r="BK3" s="4"/>
      <c r="BL3" s="4"/>
      <c r="BM3" s="4"/>
      <c r="BN3" s="4"/>
      <c r="BO3" s="4"/>
      <c r="BP3" s="4"/>
    </row>
    <row r="4" spans="1:68" x14ac:dyDescent="0.3">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row>
    <row r="5" spans="1:68" x14ac:dyDescent="0.3">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row>
    <row r="6" spans="1:68" x14ac:dyDescent="0.3">
      <c r="A6" t="s">
        <v>469</v>
      </c>
      <c r="B6" t="s">
        <v>470</v>
      </c>
      <c r="C6" t="s">
        <v>471</v>
      </c>
      <c r="E6" s="4" t="s">
        <v>472</v>
      </c>
      <c r="F6" s="4" t="s">
        <v>473</v>
      </c>
      <c r="G6" s="4" t="s">
        <v>474</v>
      </c>
      <c r="H6" s="4" t="s">
        <v>475</v>
      </c>
      <c r="I6" s="4" t="s">
        <v>476</v>
      </c>
      <c r="J6" s="4" t="s">
        <v>477</v>
      </c>
      <c r="K6" s="4" t="s">
        <v>478</v>
      </c>
      <c r="L6" s="4" t="s">
        <v>479</v>
      </c>
      <c r="M6" s="4" t="s">
        <v>480</v>
      </c>
      <c r="N6" s="4" t="s">
        <v>481</v>
      </c>
      <c r="O6" s="4" t="s">
        <v>482</v>
      </c>
      <c r="P6" s="4" t="s">
        <v>483</v>
      </c>
      <c r="Q6" s="4" t="s">
        <v>484</v>
      </c>
      <c r="R6" s="4" t="s">
        <v>485</v>
      </c>
      <c r="S6" s="4" t="s">
        <v>486</v>
      </c>
      <c r="T6" s="4" t="s">
        <v>487</v>
      </c>
      <c r="U6" s="4" t="s">
        <v>488</v>
      </c>
      <c r="V6" s="4" t="s">
        <v>489</v>
      </c>
      <c r="W6" s="4" t="s">
        <v>490</v>
      </c>
      <c r="X6" s="4" t="s">
        <v>491</v>
      </c>
      <c r="Y6" s="4" t="s">
        <v>492</v>
      </c>
      <c r="Z6" s="4" t="s">
        <v>493</v>
      </c>
      <c r="AA6" s="4" t="s">
        <v>494</v>
      </c>
      <c r="AB6" s="4" t="s">
        <v>495</v>
      </c>
      <c r="AC6" s="4" t="s">
        <v>496</v>
      </c>
      <c r="AD6" s="4" t="s">
        <v>497</v>
      </c>
      <c r="AE6" s="4" t="s">
        <v>498</v>
      </c>
      <c r="AF6" s="4" t="s">
        <v>499</v>
      </c>
      <c r="AG6" s="4" t="s">
        <v>500</v>
      </c>
      <c r="AH6" s="4" t="s">
        <v>501</v>
      </c>
      <c r="AI6" s="4" t="s">
        <v>502</v>
      </c>
      <c r="AJ6" s="4" t="s">
        <v>503</v>
      </c>
      <c r="AK6" s="4" t="s">
        <v>504</v>
      </c>
      <c r="AL6" s="4" t="s">
        <v>505</v>
      </c>
      <c r="AM6" s="4" t="s">
        <v>506</v>
      </c>
      <c r="AN6" s="4" t="s">
        <v>507</v>
      </c>
      <c r="AO6" s="4" t="s">
        <v>508</v>
      </c>
      <c r="AP6" s="4" t="s">
        <v>509</v>
      </c>
      <c r="AQ6" s="4" t="s">
        <v>510</v>
      </c>
      <c r="AR6" s="4" t="s">
        <v>511</v>
      </c>
      <c r="AS6" s="4" t="s">
        <v>512</v>
      </c>
      <c r="AT6" s="4" t="s">
        <v>513</v>
      </c>
      <c r="AU6" s="4" t="s">
        <v>514</v>
      </c>
      <c r="AV6" s="4" t="s">
        <v>515</v>
      </c>
      <c r="AW6" s="4" t="s">
        <v>516</v>
      </c>
      <c r="AX6" s="4" t="s">
        <v>517</v>
      </c>
      <c r="AY6" s="4" t="s">
        <v>518</v>
      </c>
      <c r="AZ6" s="4" t="s">
        <v>519</v>
      </c>
      <c r="BA6" s="4" t="s">
        <v>520</v>
      </c>
      <c r="BB6" s="4" t="s">
        <v>521</v>
      </c>
      <c r="BC6" s="4" t="s">
        <v>522</v>
      </c>
      <c r="BD6" s="4" t="s">
        <v>523</v>
      </c>
      <c r="BE6" s="4" t="s">
        <v>524</v>
      </c>
      <c r="BF6" s="4" t="s">
        <v>525</v>
      </c>
      <c r="BG6" s="4" t="s">
        <v>526</v>
      </c>
      <c r="BH6" s="4" t="s">
        <v>527</v>
      </c>
      <c r="BI6" s="4" t="s">
        <v>528</v>
      </c>
      <c r="BJ6" s="4" t="s">
        <v>529</v>
      </c>
      <c r="BK6" s="4" t="s">
        <v>530</v>
      </c>
      <c r="BL6" s="4" t="s">
        <v>531</v>
      </c>
    </row>
    <row r="7" spans="1:68" ht="7.5" customHeight="1" x14ac:dyDescent="0.3">
      <c r="E7" s="4"/>
      <c r="F7" s="4"/>
      <c r="G7" s="4"/>
      <c r="H7" s="4"/>
      <c r="I7" s="4"/>
      <c r="J7" s="4"/>
      <c r="K7" s="4"/>
      <c r="L7" s="4"/>
      <c r="M7" s="4"/>
      <c r="N7" s="4"/>
      <c r="O7" s="4"/>
      <c r="P7" s="4"/>
    </row>
    <row r="8" spans="1:68" x14ac:dyDescent="0.3">
      <c r="C8" t="s">
        <v>2</v>
      </c>
    </row>
    <row r="13" spans="1:68" x14ac:dyDescent="0.3">
      <c r="E13" s="28"/>
    </row>
    <row r="35" spans="1:64" ht="7.5" customHeight="1" x14ac:dyDescent="0.3">
      <c r="E35" s="4"/>
      <c r="F35" s="4"/>
      <c r="G35" s="4"/>
      <c r="H35" s="4"/>
      <c r="I35" s="4"/>
      <c r="J35" s="4"/>
      <c r="K35" s="4"/>
      <c r="L35" s="4"/>
      <c r="M35" s="4"/>
      <c r="N35" s="4"/>
      <c r="O35" s="4"/>
      <c r="P35" s="4"/>
    </row>
    <row r="36" spans="1:64" x14ac:dyDescent="0.3">
      <c r="A36" t="s">
        <v>265</v>
      </c>
      <c r="E36">
        <f t="shared" ref="E36:AJ36" si="0">SUM(E8:E34)</f>
        <v>0</v>
      </c>
      <c r="F36">
        <f t="shared" si="0"/>
        <v>0</v>
      </c>
      <c r="G36">
        <f t="shared" si="0"/>
        <v>0</v>
      </c>
      <c r="H36">
        <f t="shared" si="0"/>
        <v>0</v>
      </c>
      <c r="I36">
        <f t="shared" si="0"/>
        <v>0</v>
      </c>
      <c r="J36">
        <f t="shared" si="0"/>
        <v>0</v>
      </c>
      <c r="K36">
        <f t="shared" si="0"/>
        <v>0</v>
      </c>
      <c r="L36">
        <f t="shared" si="0"/>
        <v>0</v>
      </c>
      <c r="M36">
        <f t="shared" si="0"/>
        <v>0</v>
      </c>
      <c r="N36">
        <f t="shared" si="0"/>
        <v>0</v>
      </c>
      <c r="O36">
        <f t="shared" si="0"/>
        <v>0</v>
      </c>
      <c r="P36">
        <f t="shared" si="0"/>
        <v>0</v>
      </c>
      <c r="Q36">
        <f t="shared" si="0"/>
        <v>0</v>
      </c>
      <c r="R36">
        <f t="shared" si="0"/>
        <v>0</v>
      </c>
      <c r="S36">
        <f t="shared" si="0"/>
        <v>0</v>
      </c>
      <c r="T36">
        <f t="shared" si="0"/>
        <v>0</v>
      </c>
      <c r="U36">
        <f t="shared" si="0"/>
        <v>0</v>
      </c>
      <c r="V36">
        <f t="shared" si="0"/>
        <v>0</v>
      </c>
      <c r="W36">
        <f t="shared" si="0"/>
        <v>0</v>
      </c>
      <c r="X36">
        <f t="shared" si="0"/>
        <v>0</v>
      </c>
      <c r="Y36">
        <f t="shared" si="0"/>
        <v>0</v>
      </c>
      <c r="Z36">
        <f t="shared" si="0"/>
        <v>0</v>
      </c>
      <c r="AA36">
        <f t="shared" si="0"/>
        <v>0</v>
      </c>
      <c r="AB36">
        <f t="shared" si="0"/>
        <v>0</v>
      </c>
      <c r="AC36">
        <f t="shared" si="0"/>
        <v>0</v>
      </c>
      <c r="AD36">
        <f t="shared" si="0"/>
        <v>0</v>
      </c>
      <c r="AE36">
        <f t="shared" si="0"/>
        <v>0</v>
      </c>
      <c r="AF36">
        <f t="shared" si="0"/>
        <v>0</v>
      </c>
      <c r="AG36">
        <f t="shared" si="0"/>
        <v>0</v>
      </c>
      <c r="AH36">
        <f t="shared" si="0"/>
        <v>0</v>
      </c>
      <c r="AI36">
        <f t="shared" si="0"/>
        <v>0</v>
      </c>
      <c r="AJ36">
        <f t="shared" si="0"/>
        <v>0</v>
      </c>
      <c r="AK36">
        <f t="shared" ref="AK36:BL36" si="1">SUM(AK8:AK34)</f>
        <v>0</v>
      </c>
      <c r="AL36">
        <f t="shared" si="1"/>
        <v>0</v>
      </c>
      <c r="AM36">
        <f t="shared" si="1"/>
        <v>0</v>
      </c>
      <c r="AN36">
        <f t="shared" si="1"/>
        <v>0</v>
      </c>
      <c r="AO36">
        <f t="shared" si="1"/>
        <v>0</v>
      </c>
      <c r="AP36">
        <f t="shared" si="1"/>
        <v>0</v>
      </c>
      <c r="AQ36">
        <f t="shared" si="1"/>
        <v>0</v>
      </c>
      <c r="AR36">
        <f t="shared" si="1"/>
        <v>0</v>
      </c>
      <c r="AS36">
        <f t="shared" si="1"/>
        <v>0</v>
      </c>
      <c r="AT36">
        <f t="shared" si="1"/>
        <v>0</v>
      </c>
      <c r="AU36">
        <f t="shared" si="1"/>
        <v>0</v>
      </c>
      <c r="AV36">
        <f t="shared" si="1"/>
        <v>0</v>
      </c>
      <c r="AW36">
        <f t="shared" si="1"/>
        <v>0</v>
      </c>
      <c r="AX36">
        <f t="shared" si="1"/>
        <v>0</v>
      </c>
      <c r="AY36">
        <f t="shared" si="1"/>
        <v>0</v>
      </c>
      <c r="AZ36">
        <f t="shared" si="1"/>
        <v>0</v>
      </c>
      <c r="BA36">
        <f t="shared" si="1"/>
        <v>0</v>
      </c>
      <c r="BB36">
        <f t="shared" si="1"/>
        <v>0</v>
      </c>
      <c r="BC36">
        <f t="shared" si="1"/>
        <v>0</v>
      </c>
      <c r="BD36">
        <f t="shared" si="1"/>
        <v>0</v>
      </c>
      <c r="BE36">
        <f t="shared" si="1"/>
        <v>0</v>
      </c>
      <c r="BF36">
        <f t="shared" si="1"/>
        <v>0</v>
      </c>
      <c r="BG36">
        <f t="shared" si="1"/>
        <v>0</v>
      </c>
      <c r="BH36">
        <f t="shared" si="1"/>
        <v>0</v>
      </c>
      <c r="BI36">
        <f t="shared" si="1"/>
        <v>0</v>
      </c>
      <c r="BJ36">
        <f t="shared" si="1"/>
        <v>0</v>
      </c>
      <c r="BK36">
        <f t="shared" si="1"/>
        <v>0</v>
      </c>
      <c r="BL36">
        <f t="shared" si="1"/>
        <v>0</v>
      </c>
    </row>
    <row r="221" spans="2:3" x14ac:dyDescent="0.3">
      <c r="B221" t="s">
        <v>3</v>
      </c>
      <c r="C221" t="s">
        <v>2</v>
      </c>
    </row>
    <row r="222" spans="2:3" x14ac:dyDescent="0.3">
      <c r="B222" t="s">
        <v>5</v>
      </c>
      <c r="C222" t="s">
        <v>3</v>
      </c>
    </row>
    <row r="223" spans="2:3" x14ac:dyDescent="0.3">
      <c r="C223" t="s">
        <v>335</v>
      </c>
    </row>
  </sheetData>
  <dataValidations count="2">
    <dataValidation type="list" allowBlank="1" sqref="C8:C34" xr:uid="{00000000-0002-0000-0600-000000000000}">
      <formula1>$C$221:$C$223</formula1>
    </dataValidation>
    <dataValidation type="list" allowBlank="1" sqref="B8:B34" xr:uid="{00000000-0002-0000-0600-000001000000}">
      <formula1>$B$221:$B$222</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AB177"/>
  <sheetViews>
    <sheetView zoomScale="90" zoomScaleNormal="90" workbookViewId="0">
      <selection activeCell="E21" sqref="E21"/>
    </sheetView>
  </sheetViews>
  <sheetFormatPr defaultRowHeight="14.4" x14ac:dyDescent="0.3"/>
  <cols>
    <col min="1" max="1" width="41.6640625" bestFit="1" customWidth="1"/>
    <col min="2" max="2" width="50.33203125" bestFit="1" customWidth="1"/>
    <col min="3" max="3" width="44.33203125" customWidth="1"/>
    <col min="4" max="4" width="8.33203125" customWidth="1"/>
    <col min="5" max="6" width="34" bestFit="1" customWidth="1"/>
    <col min="7" max="8" width="44.5546875" bestFit="1" customWidth="1"/>
    <col min="9" max="9" width="34" bestFit="1" customWidth="1"/>
    <col min="10" max="13" width="15.109375" customWidth="1"/>
    <col min="14" max="14" width="16.33203125" bestFit="1" customWidth="1"/>
    <col min="15" max="15" width="20.44140625" customWidth="1"/>
    <col min="18" max="18" width="9.6640625" customWidth="1"/>
    <col min="27" max="27" width="4.33203125" hidden="1" customWidth="1"/>
    <col min="28" max="28" width="28.109375" hidden="1" customWidth="1"/>
  </cols>
  <sheetData>
    <row r="1" spans="1:28" s="4" customFormat="1" x14ac:dyDescent="0.3">
      <c r="A1" s="91"/>
      <c r="E1" s="229"/>
      <c r="F1" s="229"/>
      <c r="G1" s="229"/>
      <c r="H1" s="229"/>
      <c r="I1" s="229"/>
      <c r="J1" s="81"/>
      <c r="K1" s="81"/>
      <c r="L1" s="81"/>
      <c r="M1" s="81"/>
      <c r="N1" s="81"/>
    </row>
    <row r="2" spans="1:28" s="4" customFormat="1" x14ac:dyDescent="0.3">
      <c r="A2" s="270" t="s">
        <v>532</v>
      </c>
      <c r="C2" s="92" t="s">
        <v>533</v>
      </c>
      <c r="E2" s="229"/>
      <c r="F2" s="229"/>
      <c r="G2" s="229"/>
      <c r="H2" s="229"/>
      <c r="I2" s="229"/>
      <c r="J2" s="81"/>
      <c r="K2" s="81"/>
      <c r="L2" s="81"/>
      <c r="M2" s="81"/>
      <c r="N2" s="81"/>
    </row>
    <row r="3" spans="1:28" s="4" customFormat="1" x14ac:dyDescent="0.3">
      <c r="A3" s="270"/>
      <c r="C3" s="92" t="s">
        <v>534</v>
      </c>
      <c r="E3" s="229"/>
      <c r="F3" s="229"/>
      <c r="G3" s="229"/>
      <c r="H3" s="229"/>
      <c r="I3" s="229"/>
      <c r="J3" s="81"/>
      <c r="K3" s="81"/>
      <c r="L3" s="81"/>
      <c r="M3" s="81"/>
      <c r="N3" s="81"/>
      <c r="AA3" s="4" t="s">
        <v>535</v>
      </c>
      <c r="AB3" s="4" t="s">
        <v>536</v>
      </c>
    </row>
    <row r="4" spans="1:28" s="4" customFormat="1" x14ac:dyDescent="0.3">
      <c r="A4" s="270"/>
      <c r="C4" s="92" t="s">
        <v>537</v>
      </c>
      <c r="E4" s="229"/>
      <c r="F4" s="229"/>
      <c r="G4" s="229"/>
      <c r="H4" s="229"/>
      <c r="I4" s="229"/>
      <c r="J4" s="81"/>
      <c r="K4" s="81"/>
      <c r="L4" s="81"/>
      <c r="M4" s="81"/>
      <c r="N4" s="81"/>
      <c r="AA4" s="4" t="s">
        <v>538</v>
      </c>
      <c r="AB4" s="4" t="s">
        <v>539</v>
      </c>
    </row>
    <row r="5" spans="1:28" s="4" customFormat="1" x14ac:dyDescent="0.3">
      <c r="A5" s="270"/>
      <c r="C5" s="92" t="s">
        <v>540</v>
      </c>
      <c r="E5" s="230"/>
      <c r="F5" s="230"/>
      <c r="G5" s="230"/>
      <c r="H5" s="230"/>
      <c r="I5" s="230"/>
      <c r="J5" s="73"/>
      <c r="K5" s="73"/>
      <c r="L5" s="73"/>
      <c r="M5" s="73"/>
      <c r="N5" s="73"/>
    </row>
    <row r="6" spans="1:28" s="4" customFormat="1" x14ac:dyDescent="0.3">
      <c r="A6" s="270"/>
      <c r="C6" s="92" t="s">
        <v>541</v>
      </c>
      <c r="E6" s="229"/>
      <c r="F6" s="229"/>
      <c r="G6" s="229"/>
      <c r="H6" s="229"/>
      <c r="I6" s="229"/>
      <c r="J6" s="81"/>
      <c r="K6" s="81"/>
      <c r="L6" s="81"/>
      <c r="M6" s="81"/>
      <c r="N6" s="81"/>
    </row>
    <row r="7" spans="1:28" s="4" customFormat="1" x14ac:dyDescent="0.3">
      <c r="A7" s="270"/>
      <c r="C7" s="92"/>
      <c r="E7" s="34"/>
      <c r="F7" s="34"/>
      <c r="G7" s="34"/>
      <c r="H7" s="34"/>
      <c r="I7" s="34"/>
      <c r="J7" s="34"/>
      <c r="K7" s="34"/>
      <c r="L7" s="34"/>
      <c r="M7" s="34"/>
      <c r="N7" s="34"/>
    </row>
    <row r="8" spans="1:28" s="4" customFormat="1" x14ac:dyDescent="0.3">
      <c r="A8" s="270"/>
      <c r="C8" s="92" t="s">
        <v>542</v>
      </c>
      <c r="E8" s="81"/>
      <c r="F8" s="81"/>
      <c r="G8" s="81"/>
      <c r="H8" s="81"/>
      <c r="I8" s="81"/>
      <c r="J8" s="81"/>
      <c r="K8" s="81"/>
      <c r="L8" s="81"/>
      <c r="M8" s="81"/>
      <c r="N8" s="81"/>
    </row>
    <row r="9" spans="1:28" s="4" customFormat="1" x14ac:dyDescent="0.3">
      <c r="A9" s="270"/>
      <c r="C9" s="92"/>
      <c r="E9" s="34"/>
      <c r="F9" s="34"/>
      <c r="G9" s="34"/>
      <c r="H9" s="34"/>
      <c r="I9" s="34"/>
      <c r="J9" s="34"/>
      <c r="K9" s="34"/>
      <c r="L9" s="34"/>
      <c r="M9" s="34"/>
      <c r="N9" s="34"/>
    </row>
    <row r="10" spans="1:28" s="4" customFormat="1" x14ac:dyDescent="0.3">
      <c r="A10" s="270"/>
      <c r="B10" s="91"/>
      <c r="C10" s="220" t="s">
        <v>111</v>
      </c>
      <c r="E10" s="91"/>
      <c r="F10" s="91"/>
      <c r="G10" s="91"/>
      <c r="H10" s="91"/>
      <c r="I10" s="91"/>
      <c r="J10" s="81"/>
      <c r="K10" s="81"/>
      <c r="L10" s="81"/>
      <c r="M10" s="81"/>
      <c r="N10" s="81"/>
    </row>
    <row r="11" spans="1:28" s="4" customFormat="1" x14ac:dyDescent="0.3">
      <c r="C11" s="91" t="s">
        <v>112</v>
      </c>
      <c r="E11" s="138"/>
      <c r="F11" s="138"/>
      <c r="G11" s="138"/>
      <c r="H11" s="138"/>
      <c r="I11" s="138"/>
      <c r="J11" s="138"/>
      <c r="K11" s="138"/>
      <c r="L11" s="138"/>
      <c r="M11" s="138"/>
      <c r="N11" s="138"/>
    </row>
    <row r="12" spans="1:28" x14ac:dyDescent="0.3">
      <c r="A12" s="49"/>
      <c r="B12" s="49"/>
      <c r="C12" s="49" t="s">
        <v>543</v>
      </c>
      <c r="D12" s="49"/>
      <c r="E12" s="81"/>
      <c r="F12" s="81"/>
      <c r="G12" s="81"/>
      <c r="H12" s="81"/>
      <c r="I12" s="81"/>
      <c r="J12" s="81"/>
      <c r="K12" s="81"/>
      <c r="L12" s="81"/>
      <c r="M12" s="81"/>
      <c r="N12" s="81"/>
      <c r="O12" s="34"/>
      <c r="S12" s="4"/>
      <c r="T12" s="4"/>
    </row>
    <row r="13" spans="1:28" x14ac:dyDescent="0.3">
      <c r="A13" s="49"/>
      <c r="B13" s="49"/>
      <c r="C13" s="49" t="s">
        <v>1013</v>
      </c>
      <c r="D13" s="49"/>
      <c r="E13" s="57"/>
      <c r="F13" s="57"/>
      <c r="G13" s="57"/>
      <c r="H13" s="57"/>
      <c r="I13" s="57"/>
      <c r="J13" s="57"/>
      <c r="K13" s="57"/>
      <c r="L13" s="57"/>
      <c r="M13" s="57"/>
      <c r="N13" s="57"/>
      <c r="O13" s="34"/>
    </row>
    <row r="14" spans="1:28" x14ac:dyDescent="0.3">
      <c r="A14" s="49"/>
      <c r="B14" s="49"/>
      <c r="C14" s="49" t="s">
        <v>544</v>
      </c>
      <c r="D14" s="49"/>
      <c r="E14" s="57"/>
      <c r="F14" s="57"/>
      <c r="G14" s="57"/>
      <c r="H14" s="57"/>
      <c r="I14" s="57"/>
      <c r="J14" s="57"/>
      <c r="K14" s="57"/>
      <c r="L14" s="57"/>
      <c r="M14" s="57"/>
      <c r="N14" s="57"/>
      <c r="O14" s="34"/>
    </row>
    <row r="15" spans="1:28" x14ac:dyDescent="0.3">
      <c r="A15" s="52" t="s">
        <v>545</v>
      </c>
      <c r="B15" s="52" t="s">
        <v>417</v>
      </c>
      <c r="C15" s="54" t="s">
        <v>546</v>
      </c>
      <c r="D15" s="34"/>
      <c r="E15" s="5"/>
      <c r="F15" s="5"/>
      <c r="G15" s="5"/>
      <c r="H15" s="5"/>
      <c r="I15" s="5"/>
      <c r="J15" s="5"/>
      <c r="K15" s="5"/>
      <c r="L15" s="5"/>
      <c r="M15" s="5"/>
      <c r="N15" s="5"/>
      <c r="O15" s="52"/>
    </row>
    <row r="16" spans="1:28" x14ac:dyDescent="0.3">
      <c r="A16" s="49" t="s">
        <v>547</v>
      </c>
      <c r="B16" s="49" t="s">
        <v>547</v>
      </c>
      <c r="C16" s="49" t="s">
        <v>548</v>
      </c>
      <c r="D16" s="49"/>
      <c r="E16" s="55"/>
      <c r="F16" s="55"/>
      <c r="G16" s="55"/>
      <c r="H16" s="55"/>
      <c r="I16" s="55"/>
      <c r="J16" s="55"/>
      <c r="K16" s="55"/>
      <c r="L16" s="55"/>
      <c r="M16" s="55"/>
      <c r="N16" s="55"/>
      <c r="O16" s="53"/>
    </row>
    <row r="17" spans="1:15" x14ac:dyDescent="0.3">
      <c r="A17" s="49" t="s">
        <v>549</v>
      </c>
      <c r="B17" s="49" t="s">
        <v>549</v>
      </c>
      <c r="C17" s="49" t="s">
        <v>550</v>
      </c>
      <c r="D17" s="49"/>
      <c r="E17" s="55"/>
      <c r="F17" s="55"/>
      <c r="G17" s="55"/>
      <c r="H17" s="55"/>
      <c r="I17" s="55"/>
      <c r="J17" s="55"/>
      <c r="K17" s="55"/>
      <c r="L17" s="55"/>
      <c r="M17" s="55"/>
      <c r="N17" s="55"/>
      <c r="O17" s="53"/>
    </row>
    <row r="18" spans="1:15" x14ac:dyDescent="0.3">
      <c r="A18" s="49" t="s">
        <v>551</v>
      </c>
      <c r="B18" s="49" t="s">
        <v>551</v>
      </c>
      <c r="C18" s="49" t="s">
        <v>552</v>
      </c>
      <c r="D18" s="49"/>
      <c r="E18" s="55"/>
      <c r="F18" s="55"/>
      <c r="G18" s="55"/>
      <c r="H18" s="55"/>
      <c r="I18" s="55"/>
      <c r="J18" s="55"/>
      <c r="K18" s="55"/>
      <c r="L18" s="55"/>
      <c r="M18" s="55"/>
      <c r="N18" s="55"/>
      <c r="O18" s="53"/>
    </row>
    <row r="19" spans="1:15" ht="15.75" customHeight="1" x14ac:dyDescent="0.3">
      <c r="A19" s="45"/>
      <c r="B19" s="49" t="s">
        <v>553</v>
      </c>
      <c r="C19" s="45"/>
      <c r="D19" s="49"/>
      <c r="E19" s="55"/>
      <c r="F19" s="55"/>
      <c r="G19" s="55"/>
      <c r="H19" s="55"/>
      <c r="I19" s="55"/>
      <c r="J19" s="55"/>
      <c r="K19" s="55"/>
      <c r="L19" s="55"/>
      <c r="M19" s="55"/>
      <c r="N19" s="55"/>
      <c r="O19" s="53"/>
    </row>
    <row r="20" spans="1:15" x14ac:dyDescent="0.3">
      <c r="A20" s="45"/>
      <c r="B20" s="49" t="s">
        <v>554</v>
      </c>
      <c r="C20" s="45"/>
      <c r="D20" s="49"/>
      <c r="E20" s="55"/>
      <c r="F20" s="55"/>
      <c r="G20" s="55"/>
      <c r="H20" s="55"/>
      <c r="I20" s="55"/>
      <c r="J20" s="55"/>
      <c r="K20" s="55"/>
      <c r="L20" s="55"/>
      <c r="M20" s="55"/>
      <c r="N20" s="55"/>
      <c r="O20" s="53"/>
    </row>
    <row r="21" spans="1:15" x14ac:dyDescent="0.3">
      <c r="A21" s="49" t="s">
        <v>555</v>
      </c>
      <c r="B21" s="49" t="s">
        <v>556</v>
      </c>
      <c r="C21" s="49" t="s">
        <v>557</v>
      </c>
      <c r="D21" s="49"/>
      <c r="E21" s="55"/>
      <c r="F21" s="55"/>
      <c r="G21" s="55"/>
      <c r="H21" s="55"/>
      <c r="I21" s="55"/>
      <c r="J21" s="55"/>
      <c r="K21" s="55"/>
      <c r="L21" s="55"/>
      <c r="M21" s="55"/>
      <c r="N21" s="55"/>
      <c r="O21" s="53"/>
    </row>
    <row r="22" spans="1:15" x14ac:dyDescent="0.3">
      <c r="A22" s="49" t="s">
        <v>558</v>
      </c>
      <c r="B22" s="49" t="s">
        <v>559</v>
      </c>
      <c r="C22" s="49" t="s">
        <v>560</v>
      </c>
      <c r="D22" s="49"/>
      <c r="E22" s="55"/>
      <c r="F22" s="55"/>
      <c r="G22" s="55"/>
      <c r="H22" s="55"/>
      <c r="I22" s="55"/>
      <c r="J22" s="55"/>
      <c r="K22" s="55"/>
      <c r="L22" s="55"/>
      <c r="M22" s="55"/>
      <c r="N22" s="55"/>
      <c r="O22" s="53"/>
    </row>
    <row r="23" spans="1:15" x14ac:dyDescent="0.3">
      <c r="A23" s="49" t="s">
        <v>561</v>
      </c>
      <c r="B23" s="49" t="s">
        <v>562</v>
      </c>
      <c r="C23" s="49" t="s">
        <v>563</v>
      </c>
      <c r="D23" s="49"/>
      <c r="E23" s="55"/>
      <c r="F23" s="55"/>
      <c r="G23" s="55"/>
      <c r="H23" s="55"/>
      <c r="I23" s="55"/>
      <c r="J23" s="55"/>
      <c r="K23" s="55"/>
      <c r="L23" s="55"/>
      <c r="M23" s="55"/>
      <c r="N23" s="55"/>
      <c r="O23" s="53"/>
    </row>
    <row r="24" spans="1:15" x14ac:dyDescent="0.3">
      <c r="A24" s="49" t="s">
        <v>564</v>
      </c>
      <c r="B24" s="49" t="s">
        <v>565</v>
      </c>
      <c r="C24" s="45"/>
      <c r="D24" s="49"/>
      <c r="E24" s="55"/>
      <c r="F24" s="55"/>
      <c r="G24" s="55"/>
      <c r="H24" s="55"/>
      <c r="I24" s="55"/>
      <c r="J24" s="55"/>
      <c r="K24" s="55"/>
      <c r="L24" s="55"/>
      <c r="M24" s="55"/>
      <c r="N24" s="55"/>
      <c r="O24" s="53"/>
    </row>
    <row r="25" spans="1:15" x14ac:dyDescent="0.3">
      <c r="A25" s="49" t="s">
        <v>566</v>
      </c>
      <c r="B25" s="49" t="s">
        <v>567</v>
      </c>
      <c r="C25" s="49" t="s">
        <v>568</v>
      </c>
      <c r="D25" s="49"/>
      <c r="E25" s="55"/>
      <c r="F25" s="55"/>
      <c r="G25" s="55"/>
      <c r="H25" s="55"/>
      <c r="I25" s="55"/>
      <c r="J25" s="55"/>
      <c r="K25" s="55"/>
      <c r="L25" s="55"/>
      <c r="M25" s="55"/>
      <c r="N25" s="55"/>
      <c r="O25" s="53"/>
    </row>
    <row r="26" spans="1:15" x14ac:dyDescent="0.3">
      <c r="A26" s="49" t="s">
        <v>569</v>
      </c>
      <c r="B26" s="49" t="s">
        <v>570</v>
      </c>
      <c r="C26" s="49" t="s">
        <v>571</v>
      </c>
      <c r="D26" s="49"/>
      <c r="E26" s="55"/>
      <c r="F26" s="55"/>
      <c r="G26" s="55"/>
      <c r="H26" s="55"/>
      <c r="I26" s="55"/>
      <c r="J26" s="55"/>
      <c r="K26" s="55"/>
      <c r="L26" s="55"/>
      <c r="M26" s="55"/>
      <c r="N26" s="55"/>
      <c r="O26" s="53"/>
    </row>
    <row r="27" spans="1:15" x14ac:dyDescent="0.3">
      <c r="A27" s="49" t="s">
        <v>572</v>
      </c>
      <c r="B27" s="49" t="s">
        <v>573</v>
      </c>
      <c r="C27" s="49" t="s">
        <v>574</v>
      </c>
      <c r="D27" s="49"/>
      <c r="E27" s="55"/>
      <c r="F27" s="55"/>
      <c r="G27" s="55"/>
      <c r="H27" s="55"/>
      <c r="I27" s="55"/>
      <c r="J27" s="55"/>
      <c r="K27" s="55"/>
      <c r="L27" s="55"/>
      <c r="M27" s="55"/>
      <c r="N27" s="55"/>
      <c r="O27" s="53"/>
    </row>
    <row r="28" spans="1:15" x14ac:dyDescent="0.3">
      <c r="A28" s="49" t="s">
        <v>575</v>
      </c>
      <c r="B28" s="49" t="s">
        <v>576</v>
      </c>
      <c r="C28" s="49" t="s">
        <v>577</v>
      </c>
      <c r="D28" s="49"/>
      <c r="E28" s="55"/>
      <c r="F28" s="55"/>
      <c r="G28" s="55"/>
      <c r="H28" s="55"/>
      <c r="I28" s="55"/>
      <c r="J28" s="55"/>
      <c r="K28" s="55"/>
      <c r="L28" s="55"/>
      <c r="M28" s="55"/>
      <c r="N28" s="55"/>
      <c r="O28" s="53"/>
    </row>
    <row r="29" spans="1:15" x14ac:dyDescent="0.3">
      <c r="A29" s="49" t="s">
        <v>578</v>
      </c>
      <c r="B29" s="49" t="s">
        <v>579</v>
      </c>
      <c r="C29" s="45"/>
      <c r="D29" s="49"/>
      <c r="E29" s="55"/>
      <c r="F29" s="55"/>
      <c r="G29" s="55"/>
      <c r="H29" s="55"/>
      <c r="I29" s="55"/>
      <c r="J29" s="55"/>
      <c r="K29" s="55"/>
      <c r="L29" s="55"/>
      <c r="M29" s="55"/>
      <c r="N29" s="55"/>
      <c r="O29" s="53"/>
    </row>
    <row r="30" spans="1:15" x14ac:dyDescent="0.3">
      <c r="A30" s="49" t="s">
        <v>580</v>
      </c>
      <c r="B30" s="49" t="s">
        <v>581</v>
      </c>
      <c r="C30" s="49" t="s">
        <v>582</v>
      </c>
      <c r="D30" s="49"/>
      <c r="E30" s="55"/>
      <c r="F30" s="55"/>
      <c r="G30" s="55"/>
      <c r="H30" s="55"/>
      <c r="I30" s="55"/>
      <c r="J30" s="55"/>
      <c r="K30" s="55"/>
      <c r="L30" s="55"/>
      <c r="M30" s="55"/>
      <c r="N30" s="55"/>
      <c r="O30" s="53"/>
    </row>
    <row r="31" spans="1:15" x14ac:dyDescent="0.3">
      <c r="A31" s="49" t="s">
        <v>583</v>
      </c>
      <c r="B31" s="49" t="s">
        <v>584</v>
      </c>
      <c r="C31" s="45"/>
      <c r="D31" s="49"/>
      <c r="E31" s="55"/>
      <c r="F31" s="55"/>
      <c r="G31" s="55"/>
      <c r="H31" s="55"/>
      <c r="I31" s="55"/>
      <c r="J31" s="55"/>
      <c r="K31" s="55"/>
      <c r="L31" s="55"/>
      <c r="M31" s="55"/>
      <c r="N31" s="55"/>
      <c r="O31" s="53"/>
    </row>
    <row r="32" spans="1:15" x14ac:dyDescent="0.3">
      <c r="A32" s="45"/>
      <c r="B32" s="49" t="s">
        <v>585</v>
      </c>
      <c r="C32" s="45"/>
      <c r="D32" s="49"/>
      <c r="E32" s="55"/>
      <c r="F32" s="55"/>
      <c r="G32" s="55"/>
      <c r="H32" s="55"/>
      <c r="I32" s="55"/>
      <c r="J32" s="55"/>
      <c r="K32" s="55"/>
      <c r="L32" s="55"/>
      <c r="M32" s="55"/>
      <c r="N32" s="55"/>
      <c r="O32" s="53"/>
    </row>
    <row r="33" spans="1:15" x14ac:dyDescent="0.3">
      <c r="A33" s="49" t="s">
        <v>586</v>
      </c>
      <c r="B33" s="49" t="s">
        <v>587</v>
      </c>
      <c r="C33" s="45"/>
      <c r="D33" s="49"/>
      <c r="E33" s="55"/>
      <c r="F33" s="55"/>
      <c r="G33" s="55"/>
      <c r="H33" s="55"/>
      <c r="I33" s="55"/>
      <c r="J33" s="55"/>
      <c r="K33" s="55"/>
      <c r="L33" s="55"/>
      <c r="M33" s="55"/>
      <c r="N33" s="55"/>
      <c r="O33" s="53"/>
    </row>
    <row r="34" spans="1:15" x14ac:dyDescent="0.3">
      <c r="A34" s="49" t="s">
        <v>588</v>
      </c>
      <c r="B34" s="49" t="s">
        <v>589</v>
      </c>
      <c r="C34" s="45"/>
      <c r="D34" s="49"/>
      <c r="E34" s="55"/>
      <c r="F34" s="55"/>
      <c r="G34" s="55"/>
      <c r="H34" s="55"/>
      <c r="I34" s="55"/>
      <c r="J34" s="55"/>
      <c r="K34" s="55"/>
      <c r="L34" s="55"/>
      <c r="M34" s="55"/>
      <c r="N34" s="55"/>
      <c r="O34" s="53"/>
    </row>
    <row r="35" spans="1:15" x14ac:dyDescent="0.3">
      <c r="A35" s="49" t="s">
        <v>590</v>
      </c>
      <c r="B35" s="49" t="s">
        <v>591</v>
      </c>
      <c r="C35" s="45"/>
      <c r="D35" s="49"/>
      <c r="E35" s="55"/>
      <c r="F35" s="55"/>
      <c r="G35" s="55"/>
      <c r="H35" s="55"/>
      <c r="I35" s="55"/>
      <c r="J35" s="55"/>
      <c r="K35" s="55"/>
      <c r="L35" s="55"/>
      <c r="M35" s="55"/>
      <c r="N35" s="55"/>
      <c r="O35" s="53"/>
    </row>
    <row r="36" spans="1:15" x14ac:dyDescent="0.3">
      <c r="A36" s="49" t="s">
        <v>592</v>
      </c>
      <c r="B36" s="49" t="s">
        <v>593</v>
      </c>
      <c r="C36" s="45"/>
      <c r="D36" s="49"/>
      <c r="E36" s="55"/>
      <c r="F36" s="55"/>
      <c r="G36" s="55"/>
      <c r="H36" s="55"/>
      <c r="I36" s="55"/>
      <c r="J36" s="55"/>
      <c r="K36" s="55"/>
      <c r="L36" s="55"/>
      <c r="M36" s="55"/>
      <c r="N36" s="55"/>
      <c r="O36" s="53"/>
    </row>
    <row r="37" spans="1:15" x14ac:dyDescent="0.3">
      <c r="A37" s="49" t="s">
        <v>594</v>
      </c>
      <c r="B37" s="49" t="s">
        <v>595</v>
      </c>
      <c r="C37" s="45"/>
      <c r="D37" s="49"/>
      <c r="E37" s="55"/>
      <c r="F37" s="55"/>
      <c r="G37" s="55"/>
      <c r="H37" s="55"/>
      <c r="I37" s="55"/>
      <c r="J37" s="55"/>
      <c r="K37" s="55"/>
      <c r="L37" s="55"/>
      <c r="M37" s="55"/>
      <c r="N37" s="55"/>
      <c r="O37" s="53"/>
    </row>
    <row r="38" spans="1:15" x14ac:dyDescent="0.3">
      <c r="A38" s="49" t="s">
        <v>596</v>
      </c>
      <c r="B38" s="49" t="s">
        <v>597</v>
      </c>
      <c r="C38" s="45"/>
      <c r="D38" s="49"/>
      <c r="E38" s="55"/>
      <c r="F38" s="55"/>
      <c r="G38" s="55"/>
      <c r="H38" s="55"/>
      <c r="I38" s="55"/>
      <c r="J38" s="55"/>
      <c r="K38" s="55"/>
      <c r="L38" s="55"/>
      <c r="M38" s="55"/>
      <c r="N38" s="55"/>
      <c r="O38" s="53"/>
    </row>
    <row r="39" spans="1:15" x14ac:dyDescent="0.3">
      <c r="A39" s="49" t="s">
        <v>598</v>
      </c>
      <c r="B39" s="49" t="s">
        <v>599</v>
      </c>
      <c r="C39" s="45"/>
      <c r="D39" s="49"/>
      <c r="E39" s="55"/>
      <c r="F39" s="55"/>
      <c r="G39" s="55"/>
      <c r="H39" s="55"/>
      <c r="I39" s="55"/>
      <c r="J39" s="55"/>
      <c r="K39" s="55"/>
      <c r="L39" s="55"/>
      <c r="M39" s="55"/>
      <c r="N39" s="55"/>
      <c r="O39" s="53"/>
    </row>
    <row r="40" spans="1:15" x14ac:dyDescent="0.3">
      <c r="A40" s="49" t="s">
        <v>600</v>
      </c>
      <c r="B40" s="49" t="s">
        <v>601</v>
      </c>
      <c r="C40" s="45"/>
      <c r="D40" s="49"/>
      <c r="E40" s="55"/>
      <c r="F40" s="55"/>
      <c r="G40" s="55"/>
      <c r="H40" s="55"/>
      <c r="I40" s="55"/>
      <c r="J40" s="55"/>
      <c r="K40" s="55"/>
      <c r="L40" s="55"/>
      <c r="M40" s="55"/>
      <c r="N40" s="55"/>
      <c r="O40" s="53"/>
    </row>
    <row r="41" spans="1:15" x14ac:dyDescent="0.3">
      <c r="A41" s="49" t="s">
        <v>602</v>
      </c>
      <c r="B41" s="49" t="s">
        <v>603</v>
      </c>
      <c r="C41" s="45"/>
      <c r="D41" s="49"/>
      <c r="E41" s="55"/>
      <c r="F41" s="55"/>
      <c r="G41" s="55"/>
      <c r="H41" s="55"/>
      <c r="I41" s="55"/>
      <c r="J41" s="55"/>
      <c r="K41" s="55"/>
      <c r="L41" s="55"/>
      <c r="M41" s="55"/>
      <c r="N41" s="55"/>
      <c r="O41" s="53"/>
    </row>
    <row r="42" spans="1:15" x14ac:dyDescent="0.3">
      <c r="A42" s="45"/>
      <c r="B42" s="49" t="s">
        <v>604</v>
      </c>
      <c r="C42" s="45"/>
      <c r="D42" s="49"/>
      <c r="E42" s="55"/>
      <c r="F42" s="55"/>
      <c r="G42" s="55"/>
      <c r="H42" s="55"/>
      <c r="I42" s="55"/>
      <c r="J42" s="55"/>
      <c r="K42" s="55"/>
      <c r="L42" s="55"/>
      <c r="M42" s="55"/>
      <c r="N42" s="55"/>
      <c r="O42" s="53"/>
    </row>
    <row r="43" spans="1:15" x14ac:dyDescent="0.3">
      <c r="A43" s="45"/>
      <c r="B43" s="49" t="s">
        <v>605</v>
      </c>
      <c r="C43" s="45"/>
      <c r="D43" s="49"/>
      <c r="E43" s="55"/>
      <c r="F43" s="55"/>
      <c r="G43" s="55"/>
      <c r="H43" s="55"/>
      <c r="I43" s="55"/>
      <c r="J43" s="55"/>
      <c r="K43" s="55"/>
      <c r="L43" s="55"/>
      <c r="M43" s="55"/>
      <c r="N43" s="55"/>
      <c r="O43" s="53"/>
    </row>
    <row r="44" spans="1:15" x14ac:dyDescent="0.3">
      <c r="A44" s="45"/>
      <c r="B44" s="49" t="s">
        <v>1014</v>
      </c>
      <c r="C44" s="45"/>
      <c r="D44" s="49"/>
      <c r="E44" s="55"/>
      <c r="F44" s="55"/>
      <c r="G44" s="55"/>
      <c r="H44" s="55"/>
      <c r="I44" s="55"/>
      <c r="J44" s="55"/>
      <c r="K44" s="55"/>
      <c r="L44" s="55"/>
      <c r="M44" s="55"/>
      <c r="N44" s="55"/>
      <c r="O44" s="53"/>
    </row>
    <row r="45" spans="1:15" x14ac:dyDescent="0.3">
      <c r="A45" s="45"/>
      <c r="B45" s="49" t="s">
        <v>606</v>
      </c>
      <c r="C45" s="45"/>
      <c r="D45" s="49"/>
      <c r="E45" s="55"/>
      <c r="F45" s="55"/>
      <c r="G45" s="55"/>
      <c r="H45" s="55"/>
      <c r="I45" s="55"/>
      <c r="J45" s="55"/>
      <c r="K45" s="55"/>
      <c r="L45" s="55"/>
      <c r="M45" s="55"/>
      <c r="N45" s="55"/>
      <c r="O45" s="53"/>
    </row>
    <row r="46" spans="1:15" x14ac:dyDescent="0.3">
      <c r="A46" s="45"/>
      <c r="B46" s="49" t="s">
        <v>607</v>
      </c>
      <c r="C46" s="45"/>
      <c r="D46" s="49"/>
      <c r="E46" s="55"/>
      <c r="F46" s="55"/>
      <c r="G46" s="55"/>
      <c r="H46" s="55"/>
      <c r="I46" s="55"/>
      <c r="J46" s="55"/>
      <c r="K46" s="55"/>
      <c r="L46" s="55"/>
      <c r="M46" s="55"/>
      <c r="N46" s="55"/>
      <c r="O46" s="53"/>
    </row>
    <row r="47" spans="1:15" x14ac:dyDescent="0.3">
      <c r="A47" s="45"/>
      <c r="B47" s="49" t="s">
        <v>608</v>
      </c>
      <c r="C47" s="45"/>
      <c r="D47" s="49"/>
      <c r="E47" s="55"/>
      <c r="F47" s="55"/>
      <c r="G47" s="55"/>
      <c r="H47" s="55"/>
      <c r="I47" s="55"/>
      <c r="J47" s="55"/>
      <c r="K47" s="55"/>
      <c r="L47" s="55"/>
      <c r="M47" s="55"/>
      <c r="N47" s="55"/>
      <c r="O47" s="53"/>
    </row>
    <row r="48" spans="1:15" x14ac:dyDescent="0.3">
      <c r="A48" s="45"/>
      <c r="B48" s="49" t="s">
        <v>609</v>
      </c>
      <c r="C48" s="45"/>
      <c r="D48" s="49"/>
      <c r="E48" s="55"/>
      <c r="F48" s="55"/>
      <c r="G48" s="55"/>
      <c r="H48" s="55"/>
      <c r="I48" s="55"/>
      <c r="J48" s="55"/>
      <c r="K48" s="55"/>
      <c r="L48" s="55"/>
      <c r="M48" s="55"/>
      <c r="N48" s="55"/>
      <c r="O48" s="53"/>
    </row>
    <row r="49" spans="1:15" x14ac:dyDescent="0.3">
      <c r="A49" s="49" t="s">
        <v>610</v>
      </c>
      <c r="B49" s="49" t="s">
        <v>611</v>
      </c>
      <c r="C49" s="49" t="s">
        <v>612</v>
      </c>
      <c r="D49" s="49"/>
      <c r="E49" s="55"/>
      <c r="F49" s="55"/>
      <c r="G49" s="55"/>
      <c r="H49" s="55"/>
      <c r="I49" s="55"/>
      <c r="J49" s="55"/>
      <c r="K49" s="55"/>
      <c r="L49" s="55"/>
      <c r="M49" s="55"/>
      <c r="N49" s="55"/>
      <c r="O49" s="53"/>
    </row>
    <row r="50" spans="1:15" x14ac:dyDescent="0.3">
      <c r="A50" s="49" t="s">
        <v>613</v>
      </c>
      <c r="B50" s="49" t="s">
        <v>614</v>
      </c>
      <c r="C50" s="49" t="s">
        <v>615</v>
      </c>
      <c r="D50" s="49"/>
      <c r="E50" s="55"/>
      <c r="F50" s="55"/>
      <c r="G50" s="55"/>
      <c r="H50" s="55"/>
      <c r="I50" s="55"/>
      <c r="J50" s="55"/>
      <c r="K50" s="55"/>
      <c r="L50" s="55"/>
      <c r="M50" s="55"/>
      <c r="N50" s="55"/>
      <c r="O50" s="53"/>
    </row>
    <row r="51" spans="1:15" x14ac:dyDescent="0.3">
      <c r="A51" s="49" t="s">
        <v>616</v>
      </c>
      <c r="B51" s="49" t="s">
        <v>617</v>
      </c>
      <c r="C51" s="45"/>
      <c r="D51" s="49"/>
      <c r="E51" s="55"/>
      <c r="F51" s="55"/>
      <c r="G51" s="55"/>
      <c r="H51" s="55"/>
      <c r="I51" s="55"/>
      <c r="J51" s="55"/>
      <c r="K51" s="55"/>
      <c r="L51" s="55"/>
      <c r="M51" s="55"/>
      <c r="N51" s="55"/>
      <c r="O51" s="53"/>
    </row>
    <row r="52" spans="1:15" x14ac:dyDescent="0.3">
      <c r="A52" s="49" t="s">
        <v>618</v>
      </c>
      <c r="B52" s="49" t="s">
        <v>619</v>
      </c>
      <c r="C52" s="49" t="s">
        <v>618</v>
      </c>
      <c r="D52" s="49"/>
      <c r="E52" s="55"/>
      <c r="F52" s="55"/>
      <c r="G52" s="55"/>
      <c r="H52" s="55"/>
      <c r="I52" s="55"/>
      <c r="J52" s="55"/>
      <c r="K52" s="55"/>
      <c r="L52" s="55"/>
      <c r="M52" s="55"/>
      <c r="N52" s="55"/>
      <c r="O52" s="53"/>
    </row>
    <row r="53" spans="1:15" x14ac:dyDescent="0.3">
      <c r="A53" s="49" t="s">
        <v>620</v>
      </c>
      <c r="B53" s="49" t="s">
        <v>620</v>
      </c>
      <c r="C53" s="49" t="s">
        <v>621</v>
      </c>
      <c r="D53" s="49"/>
      <c r="E53" s="55"/>
      <c r="F53" s="55"/>
      <c r="G53" s="55"/>
      <c r="H53" s="55"/>
      <c r="I53" s="55"/>
      <c r="J53" s="55"/>
      <c r="K53" s="55"/>
      <c r="L53" s="55"/>
      <c r="M53" s="55"/>
      <c r="N53" s="55"/>
      <c r="O53" s="53"/>
    </row>
    <row r="54" spans="1:15" x14ac:dyDescent="0.3">
      <c r="A54" s="49" t="s">
        <v>622</v>
      </c>
      <c r="B54" s="49" t="s">
        <v>622</v>
      </c>
      <c r="C54" s="49" t="s">
        <v>623</v>
      </c>
      <c r="D54" s="49"/>
      <c r="E54" s="55"/>
      <c r="F54" s="55"/>
      <c r="G54" s="55"/>
      <c r="H54" s="55"/>
      <c r="I54" s="55"/>
      <c r="J54" s="55"/>
      <c r="K54" s="55"/>
      <c r="L54" s="55"/>
      <c r="M54" s="55"/>
      <c r="N54" s="55"/>
      <c r="O54" s="53"/>
    </row>
    <row r="55" spans="1:15" x14ac:dyDescent="0.3">
      <c r="A55" s="49" t="s">
        <v>624</v>
      </c>
      <c r="B55" s="49" t="s">
        <v>624</v>
      </c>
      <c r="C55" s="49" t="s">
        <v>625</v>
      </c>
      <c r="D55" s="49"/>
      <c r="E55" s="55"/>
      <c r="F55" s="55"/>
      <c r="G55" s="55"/>
      <c r="H55" s="55"/>
      <c r="I55" s="55"/>
      <c r="J55" s="55"/>
      <c r="K55" s="55"/>
      <c r="L55" s="55"/>
      <c r="M55" s="55"/>
      <c r="N55" s="55"/>
      <c r="O55" s="53"/>
    </row>
    <row r="56" spans="1:15" x14ac:dyDescent="0.3">
      <c r="A56" s="49" t="s">
        <v>626</v>
      </c>
      <c r="B56" s="49" t="s">
        <v>627</v>
      </c>
      <c r="C56" s="49" t="s">
        <v>628</v>
      </c>
      <c r="D56" s="49"/>
      <c r="E56" s="55"/>
      <c r="F56" s="55"/>
      <c r="G56" s="55"/>
      <c r="H56" s="55"/>
      <c r="I56" s="55"/>
      <c r="J56" s="55"/>
      <c r="K56" s="55"/>
      <c r="L56" s="55"/>
      <c r="M56" s="55"/>
      <c r="N56" s="55"/>
      <c r="O56" s="53"/>
    </row>
    <row r="57" spans="1:15" x14ac:dyDescent="0.3">
      <c r="A57" s="49" t="s">
        <v>629</v>
      </c>
      <c r="B57" s="49" t="s">
        <v>630</v>
      </c>
      <c r="C57" s="45"/>
      <c r="D57" s="49"/>
      <c r="E57" s="55"/>
      <c r="F57" s="55"/>
      <c r="G57" s="55"/>
      <c r="H57" s="55"/>
      <c r="I57" s="55"/>
      <c r="J57" s="55"/>
      <c r="K57" s="55"/>
      <c r="L57" s="55"/>
      <c r="M57" s="55"/>
      <c r="N57" s="55"/>
      <c r="O57" s="53"/>
    </row>
    <row r="58" spans="1:15" x14ac:dyDescent="0.3">
      <c r="A58" s="232" t="s">
        <v>631</v>
      </c>
      <c r="B58" s="49" t="s">
        <v>632</v>
      </c>
      <c r="C58" s="49" t="s">
        <v>633</v>
      </c>
      <c r="D58" s="49"/>
      <c r="E58" s="55"/>
      <c r="F58" s="55"/>
      <c r="G58" s="55"/>
      <c r="H58" s="55"/>
      <c r="I58" s="55"/>
      <c r="J58" s="55"/>
      <c r="K58" s="55"/>
      <c r="L58" s="55"/>
      <c r="M58" s="55"/>
      <c r="N58" s="55"/>
      <c r="O58" s="53"/>
    </row>
    <row r="59" spans="1:15" x14ac:dyDescent="0.3">
      <c r="A59" s="49" t="s">
        <v>634</v>
      </c>
      <c r="B59" s="49" t="s">
        <v>635</v>
      </c>
      <c r="C59" s="45"/>
      <c r="D59" s="49"/>
      <c r="E59" s="55"/>
      <c r="F59" s="55"/>
      <c r="G59" s="55"/>
      <c r="H59" s="55"/>
      <c r="I59" s="55"/>
      <c r="J59" s="55"/>
      <c r="K59" s="55"/>
      <c r="L59" s="55"/>
      <c r="M59" s="55"/>
      <c r="N59" s="55"/>
      <c r="O59" s="53"/>
    </row>
    <row r="60" spans="1:15" x14ac:dyDescent="0.3">
      <c r="A60" s="49" t="s">
        <v>636</v>
      </c>
      <c r="B60" s="49" t="s">
        <v>637</v>
      </c>
      <c r="C60" s="45"/>
      <c r="D60" s="49"/>
      <c r="E60" s="55"/>
      <c r="F60" s="55"/>
      <c r="G60" s="55"/>
      <c r="H60" s="55"/>
      <c r="I60" s="55"/>
      <c r="J60" s="55"/>
      <c r="K60" s="55"/>
      <c r="L60" s="55"/>
      <c r="M60" s="55"/>
      <c r="N60" s="55"/>
      <c r="O60" s="53"/>
    </row>
    <row r="61" spans="1:15" x14ac:dyDescent="0.3">
      <c r="A61" s="49" t="s">
        <v>638</v>
      </c>
      <c r="B61" s="49" t="s">
        <v>639</v>
      </c>
      <c r="C61" s="45"/>
      <c r="D61" s="49"/>
      <c r="E61" s="55"/>
      <c r="F61" s="55"/>
      <c r="G61" s="55"/>
      <c r="H61" s="55"/>
      <c r="I61" s="55"/>
      <c r="J61" s="55"/>
      <c r="K61" s="55"/>
      <c r="L61" s="55"/>
      <c r="M61" s="55"/>
      <c r="N61" s="55"/>
      <c r="O61" s="53"/>
    </row>
    <row r="62" spans="1:15" x14ac:dyDescent="0.3">
      <c r="A62" s="49" t="s">
        <v>640</v>
      </c>
      <c r="B62" s="49" t="s">
        <v>641</v>
      </c>
      <c r="C62" s="45"/>
      <c r="D62" s="49"/>
      <c r="E62" s="55"/>
      <c r="F62" s="55"/>
      <c r="G62" s="55"/>
      <c r="H62" s="55"/>
      <c r="I62" s="55"/>
      <c r="J62" s="55"/>
      <c r="K62" s="55"/>
      <c r="L62" s="55"/>
      <c r="M62" s="55"/>
      <c r="N62" s="55"/>
      <c r="O62" s="53"/>
    </row>
    <row r="63" spans="1:15" x14ac:dyDescent="0.3">
      <c r="A63" s="49" t="s">
        <v>642</v>
      </c>
      <c r="B63" s="49" t="s">
        <v>643</v>
      </c>
      <c r="C63" s="49" t="s">
        <v>644</v>
      </c>
      <c r="D63" s="49"/>
      <c r="E63" s="55"/>
      <c r="F63" s="55"/>
      <c r="G63" s="55"/>
      <c r="H63" s="55"/>
      <c r="I63" s="55"/>
      <c r="J63" s="55"/>
      <c r="K63" s="55"/>
      <c r="L63" s="55"/>
      <c r="M63" s="55"/>
      <c r="N63" s="55"/>
      <c r="O63" s="53"/>
    </row>
    <row r="64" spans="1:15" x14ac:dyDescent="0.3">
      <c r="A64" s="49" t="s">
        <v>645</v>
      </c>
      <c r="B64" s="49" t="s">
        <v>646</v>
      </c>
      <c r="C64" s="148"/>
      <c r="D64" s="49"/>
      <c r="E64" s="55"/>
      <c r="F64" s="55"/>
      <c r="G64" s="55"/>
      <c r="H64" s="55"/>
      <c r="I64" s="55"/>
      <c r="J64" s="55"/>
      <c r="K64" s="55"/>
      <c r="L64" s="55"/>
      <c r="M64" s="55"/>
      <c r="N64" s="55"/>
      <c r="O64" s="53"/>
    </row>
    <row r="65" spans="1:16" x14ac:dyDescent="0.3">
      <c r="A65" s="49" t="s">
        <v>647</v>
      </c>
      <c r="B65" s="49" t="s">
        <v>648</v>
      </c>
      <c r="C65" s="45"/>
      <c r="D65" s="49"/>
      <c r="E65" s="55"/>
      <c r="F65" s="55"/>
      <c r="G65" s="55"/>
      <c r="H65" s="55"/>
      <c r="I65" s="55"/>
      <c r="J65" s="55"/>
      <c r="K65" s="55"/>
      <c r="L65" s="55"/>
      <c r="M65" s="55"/>
      <c r="N65" s="55"/>
      <c r="O65" s="53"/>
    </row>
    <row r="66" spans="1:16" x14ac:dyDescent="0.3">
      <c r="A66" s="49" t="s">
        <v>649</v>
      </c>
      <c r="B66" s="49" t="s">
        <v>650</v>
      </c>
      <c r="C66" s="45"/>
      <c r="D66" s="49"/>
      <c r="E66" s="55"/>
      <c r="F66" s="55"/>
      <c r="G66" s="55"/>
      <c r="H66" s="55"/>
      <c r="I66" s="55"/>
      <c r="J66" s="55"/>
      <c r="K66" s="55"/>
      <c r="L66" s="55"/>
      <c r="M66" s="55"/>
      <c r="N66" s="55"/>
      <c r="O66" s="53"/>
    </row>
    <row r="67" spans="1:16" x14ac:dyDescent="0.3">
      <c r="A67" s="49" t="s">
        <v>651</v>
      </c>
      <c r="B67" s="49" t="s">
        <v>652</v>
      </c>
      <c r="C67" s="45"/>
      <c r="D67" s="49"/>
      <c r="E67" s="55"/>
      <c r="F67" s="55"/>
      <c r="G67" s="55"/>
      <c r="H67" s="55"/>
      <c r="I67" s="55"/>
      <c r="J67" s="55"/>
      <c r="K67" s="55"/>
      <c r="L67" s="55"/>
      <c r="M67" s="55"/>
      <c r="N67" s="55"/>
      <c r="O67" s="53"/>
    </row>
    <row r="68" spans="1:16" x14ac:dyDescent="0.3">
      <c r="A68" s="49" t="s">
        <v>653</v>
      </c>
      <c r="B68" s="49" t="s">
        <v>654</v>
      </c>
      <c r="C68" s="231"/>
      <c r="D68" s="143"/>
      <c r="E68" s="55"/>
      <c r="F68" s="55"/>
      <c r="G68" s="55"/>
      <c r="H68" s="55"/>
      <c r="I68" s="55"/>
      <c r="J68" s="55"/>
      <c r="K68" s="55"/>
      <c r="L68" s="55"/>
      <c r="M68" s="55"/>
      <c r="N68" s="55"/>
      <c r="O68" s="53"/>
    </row>
    <row r="69" spans="1:16" x14ac:dyDescent="0.3">
      <c r="A69" s="49" t="s">
        <v>655</v>
      </c>
      <c r="B69" s="49" t="s">
        <v>656</v>
      </c>
      <c r="C69" s="60"/>
      <c r="E69" s="55"/>
      <c r="F69" s="55"/>
      <c r="G69" s="55"/>
      <c r="H69" s="55"/>
      <c r="I69" s="55"/>
      <c r="J69" s="55"/>
      <c r="K69" s="55"/>
      <c r="L69" s="55"/>
      <c r="M69" s="55"/>
      <c r="N69" s="55"/>
      <c r="O69" s="53"/>
    </row>
    <row r="70" spans="1:16" x14ac:dyDescent="0.3">
      <c r="E70" s="55"/>
      <c r="F70" s="55"/>
      <c r="G70" s="55"/>
      <c r="H70" s="55"/>
      <c r="I70" s="55"/>
      <c r="J70" s="138"/>
      <c r="K70" s="138"/>
      <c r="L70" s="138"/>
      <c r="M70" s="138"/>
      <c r="N70" s="138"/>
      <c r="O70" s="139"/>
    </row>
    <row r="71" spans="1:16" x14ac:dyDescent="0.3">
      <c r="A71" s="92"/>
      <c r="B71" s="92"/>
      <c r="D71" s="3" t="s">
        <v>657</v>
      </c>
      <c r="E71" s="53"/>
      <c r="F71" s="53"/>
      <c r="G71" s="53"/>
      <c r="H71" s="53"/>
      <c r="I71" s="53"/>
      <c r="J71" s="53"/>
      <c r="K71" s="53"/>
      <c r="L71" s="53"/>
      <c r="M71" s="53"/>
      <c r="N71" s="53"/>
      <c r="O71" s="53"/>
    </row>
    <row r="72" spans="1:16" x14ac:dyDescent="0.3">
      <c r="D72" s="3" t="s">
        <v>658</v>
      </c>
      <c r="E72" s="33"/>
      <c r="F72" s="33"/>
      <c r="G72" s="33"/>
      <c r="H72" s="33"/>
      <c r="I72" s="33"/>
      <c r="J72" s="33"/>
      <c r="K72" s="33"/>
      <c r="L72" s="33"/>
      <c r="M72" s="33"/>
      <c r="N72" s="33"/>
      <c r="O72" s="53"/>
      <c r="P72" t="s">
        <v>659</v>
      </c>
    </row>
    <row r="73" spans="1:16" x14ac:dyDescent="0.3">
      <c r="D73" s="3" t="s">
        <v>660</v>
      </c>
      <c r="E73" s="2"/>
      <c r="F73" s="2"/>
      <c r="G73" s="2"/>
      <c r="H73" s="2"/>
      <c r="I73" s="2"/>
      <c r="J73" s="2"/>
      <c r="K73" s="2"/>
      <c r="L73" s="2"/>
      <c r="M73" s="2"/>
      <c r="N73" s="93"/>
      <c r="O73" s="53"/>
      <c r="P73" t="s">
        <v>661</v>
      </c>
    </row>
    <row r="74" spans="1:16" x14ac:dyDescent="0.3">
      <c r="D74" s="3" t="s">
        <v>82</v>
      </c>
      <c r="E74" s="53"/>
      <c r="F74" s="53"/>
      <c r="G74" s="53"/>
      <c r="H74" s="53"/>
      <c r="I74" s="53"/>
      <c r="J74" s="53"/>
      <c r="K74" s="53"/>
      <c r="L74" s="53"/>
      <c r="M74" s="53"/>
      <c r="N74" s="53"/>
      <c r="O74" s="53"/>
    </row>
    <row r="77" spans="1:16" ht="15" thickBot="1" x14ac:dyDescent="0.35">
      <c r="A77" s="91"/>
      <c r="C77" s="117"/>
      <c r="D77" s="145" t="s">
        <v>662</v>
      </c>
    </row>
    <row r="78" spans="1:16" x14ac:dyDescent="0.3">
      <c r="C78" s="3"/>
      <c r="D78" s="3" t="s">
        <v>663</v>
      </c>
      <c r="E78" s="55"/>
      <c r="F78" s="55"/>
      <c r="G78" s="55"/>
      <c r="H78" s="55"/>
      <c r="I78" s="55"/>
      <c r="J78" s="55"/>
      <c r="K78" s="55"/>
      <c r="L78" s="55"/>
      <c r="M78" s="55"/>
      <c r="N78" s="55"/>
      <c r="O78" s="53">
        <f t="shared" ref="O78:O83" si="0">SUM(E78:N78)</f>
        <v>0</v>
      </c>
    </row>
    <row r="79" spans="1:16" x14ac:dyDescent="0.3">
      <c r="C79" s="3"/>
      <c r="D79" s="3" t="s">
        <v>664</v>
      </c>
      <c r="E79" s="55"/>
      <c r="F79" s="55"/>
      <c r="G79" s="55"/>
      <c r="H79" s="55"/>
      <c r="I79" s="55"/>
      <c r="J79" s="55"/>
      <c r="K79" s="55"/>
      <c r="L79" s="55"/>
      <c r="M79" s="55"/>
      <c r="N79" s="55"/>
      <c r="O79" s="53">
        <f t="shared" si="0"/>
        <v>0</v>
      </c>
    </row>
    <row r="80" spans="1:16" x14ac:dyDescent="0.3">
      <c r="C80" s="3"/>
      <c r="D80" s="3" t="s">
        <v>665</v>
      </c>
      <c r="E80" s="55"/>
      <c r="F80" s="55"/>
      <c r="G80" s="55"/>
      <c r="H80" s="55"/>
      <c r="I80" s="55"/>
      <c r="J80" s="55"/>
      <c r="K80" s="55"/>
      <c r="L80" s="55"/>
      <c r="M80" s="55"/>
      <c r="N80" s="55"/>
      <c r="O80" s="53">
        <f t="shared" si="0"/>
        <v>0</v>
      </c>
    </row>
    <row r="81" spans="1:15" x14ac:dyDescent="0.3">
      <c r="C81" s="3"/>
      <c r="D81" s="3" t="s">
        <v>666</v>
      </c>
      <c r="E81" s="55"/>
      <c r="F81" s="55"/>
      <c r="G81" s="55"/>
      <c r="H81" s="55"/>
      <c r="I81" s="55"/>
      <c r="J81" s="55"/>
      <c r="K81" s="55"/>
      <c r="L81" s="55"/>
      <c r="M81" s="55"/>
      <c r="N81" s="55"/>
      <c r="O81" s="53">
        <f t="shared" si="0"/>
        <v>0</v>
      </c>
    </row>
    <row r="82" spans="1:15" x14ac:dyDescent="0.3">
      <c r="C82" s="3"/>
      <c r="D82" s="3" t="s">
        <v>667</v>
      </c>
      <c r="E82" s="55"/>
      <c r="F82" s="55"/>
      <c r="G82" s="55"/>
      <c r="H82" s="55"/>
      <c r="I82" s="55"/>
      <c r="J82" s="55"/>
      <c r="K82" s="55"/>
      <c r="L82" s="55"/>
      <c r="M82" s="55"/>
      <c r="N82" s="55"/>
      <c r="O82" s="53">
        <f t="shared" si="0"/>
        <v>0</v>
      </c>
    </row>
    <row r="83" spans="1:15" x14ac:dyDescent="0.3">
      <c r="A83" s="91"/>
      <c r="B83" s="91"/>
      <c r="C83" s="3"/>
      <c r="D83" s="144" t="s">
        <v>668</v>
      </c>
      <c r="E83" s="53">
        <f>SUM(E78:E82)</f>
        <v>0</v>
      </c>
      <c r="F83" s="53">
        <f t="shared" ref="F83:N83" si="1">SUM(F78:F82)</f>
        <v>0</v>
      </c>
      <c r="G83" s="53">
        <f t="shared" si="1"/>
        <v>0</v>
      </c>
      <c r="H83" s="53">
        <f t="shared" si="1"/>
        <v>0</v>
      </c>
      <c r="I83" s="53">
        <f t="shared" si="1"/>
        <v>0</v>
      </c>
      <c r="J83" s="53">
        <f t="shared" si="1"/>
        <v>0</v>
      </c>
      <c r="K83" s="53">
        <f t="shared" si="1"/>
        <v>0</v>
      </c>
      <c r="L83" s="53">
        <f t="shared" si="1"/>
        <v>0</v>
      </c>
      <c r="M83" s="53">
        <f t="shared" si="1"/>
        <v>0</v>
      </c>
      <c r="N83" s="53">
        <f t="shared" si="1"/>
        <v>0</v>
      </c>
      <c r="O83" s="53">
        <f t="shared" si="0"/>
        <v>0</v>
      </c>
    </row>
    <row r="84" spans="1:15" x14ac:dyDescent="0.3">
      <c r="C84" s="3"/>
      <c r="D84" s="3"/>
    </row>
    <row r="85" spans="1:15" x14ac:dyDescent="0.3">
      <c r="C85" s="3"/>
      <c r="D85" s="3" t="s">
        <v>669</v>
      </c>
      <c r="E85" s="55"/>
      <c r="F85" s="55"/>
      <c r="G85" s="55"/>
      <c r="H85" s="55"/>
      <c r="I85" s="55"/>
      <c r="J85" s="55"/>
      <c r="K85" s="55"/>
      <c r="L85" s="55"/>
      <c r="M85" s="55"/>
      <c r="N85" s="55"/>
      <c r="O85" s="53">
        <f t="shared" ref="O85:O90" si="2">SUM(E85:N85)</f>
        <v>0</v>
      </c>
    </row>
    <row r="86" spans="1:15" x14ac:dyDescent="0.3">
      <c r="C86" s="3"/>
      <c r="D86" s="3" t="s">
        <v>670</v>
      </c>
      <c r="E86" s="55"/>
      <c r="F86" s="55"/>
      <c r="G86" s="55"/>
      <c r="H86" s="55"/>
      <c r="I86" s="55"/>
      <c r="J86" s="55"/>
      <c r="K86" s="55"/>
      <c r="L86" s="55"/>
      <c r="M86" s="55"/>
      <c r="N86" s="55"/>
      <c r="O86" s="53">
        <f t="shared" si="2"/>
        <v>0</v>
      </c>
    </row>
    <row r="87" spans="1:15" x14ac:dyDescent="0.3">
      <c r="C87" s="3"/>
      <c r="D87" s="3" t="s">
        <v>671</v>
      </c>
      <c r="E87" s="55"/>
      <c r="F87" s="55"/>
      <c r="G87" s="55"/>
      <c r="H87" s="55"/>
      <c r="I87" s="55"/>
      <c r="J87" s="55"/>
      <c r="K87" s="55"/>
      <c r="L87" s="55"/>
      <c r="M87" s="55"/>
      <c r="N87" s="55"/>
      <c r="O87" s="53">
        <f t="shared" si="2"/>
        <v>0</v>
      </c>
    </row>
    <row r="88" spans="1:15" x14ac:dyDescent="0.3">
      <c r="C88" s="3"/>
      <c r="D88" s="3" t="s">
        <v>672</v>
      </c>
      <c r="E88" s="55"/>
      <c r="F88" s="55"/>
      <c r="G88" s="55"/>
      <c r="H88" s="55"/>
      <c r="I88" s="55"/>
      <c r="J88" s="55"/>
      <c r="K88" s="55"/>
      <c r="L88" s="55"/>
      <c r="M88" s="55"/>
      <c r="N88" s="55"/>
      <c r="O88" s="53">
        <f t="shared" si="2"/>
        <v>0</v>
      </c>
    </row>
    <row r="89" spans="1:15" x14ac:dyDescent="0.3">
      <c r="C89" s="3"/>
      <c r="D89" s="3" t="s">
        <v>673</v>
      </c>
      <c r="E89" s="55"/>
      <c r="F89" s="55"/>
      <c r="G89" s="55"/>
      <c r="H89" s="55"/>
      <c r="I89" s="55"/>
      <c r="J89" s="55"/>
      <c r="K89" s="55"/>
      <c r="L89" s="55"/>
      <c r="M89" s="55"/>
      <c r="N89" s="55"/>
      <c r="O89" s="53">
        <f t="shared" si="2"/>
        <v>0</v>
      </c>
    </row>
    <row r="90" spans="1:15" x14ac:dyDescent="0.3">
      <c r="A90" s="91"/>
      <c r="B90" s="91"/>
      <c r="C90" s="3"/>
      <c r="D90" s="144" t="s">
        <v>674</v>
      </c>
      <c r="E90" s="53">
        <f>SUM(E85:E89)</f>
        <v>0</v>
      </c>
      <c r="F90" s="53">
        <f t="shared" ref="F90:N90" si="3">SUM(F85:F89)</f>
        <v>0</v>
      </c>
      <c r="G90" s="53">
        <f t="shared" si="3"/>
        <v>0</v>
      </c>
      <c r="H90" s="53">
        <f t="shared" si="3"/>
        <v>0</v>
      </c>
      <c r="I90" s="53">
        <f t="shared" si="3"/>
        <v>0</v>
      </c>
      <c r="J90" s="53">
        <f t="shared" si="3"/>
        <v>0</v>
      </c>
      <c r="K90" s="53">
        <f t="shared" si="3"/>
        <v>0</v>
      </c>
      <c r="L90" s="53">
        <f t="shared" si="3"/>
        <v>0</v>
      </c>
      <c r="M90" s="53">
        <f t="shared" si="3"/>
        <v>0</v>
      </c>
      <c r="N90" s="53">
        <f t="shared" si="3"/>
        <v>0</v>
      </c>
      <c r="O90" s="53">
        <f t="shared" si="2"/>
        <v>0</v>
      </c>
    </row>
    <row r="91" spans="1:15" x14ac:dyDescent="0.3">
      <c r="C91" s="3"/>
      <c r="D91" s="3"/>
    </row>
    <row r="92" spans="1:15" x14ac:dyDescent="0.3">
      <c r="C92" s="3"/>
      <c r="D92" s="3" t="s">
        <v>675</v>
      </c>
      <c r="E92" s="55"/>
      <c r="F92" s="55"/>
      <c r="G92" s="55"/>
      <c r="H92" s="55"/>
      <c r="I92" s="55"/>
      <c r="J92" s="55"/>
      <c r="K92" s="55"/>
      <c r="L92" s="55"/>
      <c r="M92" s="55"/>
      <c r="N92" s="55"/>
      <c r="O92" s="53">
        <f t="shared" ref="O92:O97" si="4">SUM(E92:N92)</f>
        <v>0</v>
      </c>
    </row>
    <row r="93" spans="1:15" x14ac:dyDescent="0.3">
      <c r="C93" s="3"/>
      <c r="D93" s="3" t="s">
        <v>676</v>
      </c>
      <c r="E93" s="55"/>
      <c r="F93" s="55"/>
      <c r="G93" s="55"/>
      <c r="H93" s="55"/>
      <c r="I93" s="55"/>
      <c r="J93" s="55"/>
      <c r="K93" s="55"/>
      <c r="L93" s="55"/>
      <c r="M93" s="55"/>
      <c r="N93" s="55"/>
      <c r="O93" s="53">
        <f t="shared" si="4"/>
        <v>0</v>
      </c>
    </row>
    <row r="94" spans="1:15" x14ac:dyDescent="0.3">
      <c r="C94" s="3"/>
      <c r="D94" s="3" t="s">
        <v>677</v>
      </c>
      <c r="E94" s="55"/>
      <c r="F94" s="55"/>
      <c r="G94" s="55"/>
      <c r="H94" s="55"/>
      <c r="I94" s="55"/>
      <c r="J94" s="55"/>
      <c r="K94" s="55"/>
      <c r="L94" s="55"/>
      <c r="M94" s="55"/>
      <c r="N94" s="55"/>
      <c r="O94" s="53">
        <f t="shared" si="4"/>
        <v>0</v>
      </c>
    </row>
    <row r="95" spans="1:15" x14ac:dyDescent="0.3">
      <c r="C95" s="3"/>
      <c r="D95" s="3" t="s">
        <v>678</v>
      </c>
      <c r="E95" s="55"/>
      <c r="F95" s="55"/>
      <c r="G95" s="55"/>
      <c r="H95" s="55"/>
      <c r="I95" s="55"/>
      <c r="J95" s="55"/>
      <c r="K95" s="55"/>
      <c r="L95" s="55"/>
      <c r="M95" s="55"/>
      <c r="N95" s="55"/>
      <c r="O95" s="53">
        <f t="shared" si="4"/>
        <v>0</v>
      </c>
    </row>
    <row r="96" spans="1:15" x14ac:dyDescent="0.3">
      <c r="C96" s="3"/>
      <c r="D96" s="3" t="s">
        <v>679</v>
      </c>
      <c r="E96" s="55"/>
      <c r="F96" s="55"/>
      <c r="G96" s="55"/>
      <c r="H96" s="55"/>
      <c r="I96" s="55"/>
      <c r="J96" s="55"/>
      <c r="K96" s="55"/>
      <c r="L96" s="55"/>
      <c r="M96" s="55"/>
      <c r="N96" s="55"/>
      <c r="O96" s="53">
        <f t="shared" si="4"/>
        <v>0</v>
      </c>
    </row>
    <row r="97" spans="1:15" x14ac:dyDescent="0.3">
      <c r="A97" s="91"/>
      <c r="B97" s="91"/>
      <c r="C97" s="3"/>
      <c r="D97" s="144" t="s">
        <v>680</v>
      </c>
      <c r="E97" s="53">
        <f>SUM(E92:E96)</f>
        <v>0</v>
      </c>
      <c r="F97" s="53">
        <f t="shared" ref="F97:N97" si="5">SUM(F92:F96)</f>
        <v>0</v>
      </c>
      <c r="G97" s="53">
        <f t="shared" si="5"/>
        <v>0</v>
      </c>
      <c r="H97" s="53">
        <f t="shared" si="5"/>
        <v>0</v>
      </c>
      <c r="I97" s="53">
        <f t="shared" si="5"/>
        <v>0</v>
      </c>
      <c r="J97" s="53">
        <f t="shared" si="5"/>
        <v>0</v>
      </c>
      <c r="K97" s="53">
        <f t="shared" si="5"/>
        <v>0</v>
      </c>
      <c r="L97" s="53">
        <f t="shared" si="5"/>
        <v>0</v>
      </c>
      <c r="M97" s="53">
        <f t="shared" si="5"/>
        <v>0</v>
      </c>
      <c r="N97" s="53">
        <f t="shared" si="5"/>
        <v>0</v>
      </c>
      <c r="O97" s="53">
        <f t="shared" si="4"/>
        <v>0</v>
      </c>
    </row>
    <row r="98" spans="1:15" x14ac:dyDescent="0.3">
      <c r="C98" s="3"/>
      <c r="D98" s="3"/>
    </row>
    <row r="99" spans="1:15" x14ac:dyDescent="0.3">
      <c r="C99" s="3"/>
      <c r="D99" s="3" t="s">
        <v>681</v>
      </c>
      <c r="E99" s="55"/>
      <c r="F99" s="55"/>
      <c r="G99" s="55"/>
      <c r="H99" s="55"/>
      <c r="I99" s="55"/>
      <c r="J99" s="55"/>
      <c r="K99" s="55"/>
      <c r="L99" s="55"/>
      <c r="M99" s="55"/>
      <c r="N99" s="55"/>
      <c r="O99" s="53">
        <f t="shared" ref="O99:O108" si="6">SUM(E99:N99)</f>
        <v>0</v>
      </c>
    </row>
    <row r="100" spans="1:15" x14ac:dyDescent="0.3">
      <c r="C100" s="3"/>
      <c r="D100" s="3" t="s">
        <v>682</v>
      </c>
      <c r="E100" s="55"/>
      <c r="F100" s="55"/>
      <c r="G100" s="55"/>
      <c r="H100" s="55"/>
      <c r="I100" s="55"/>
      <c r="J100" s="55"/>
      <c r="K100" s="55"/>
      <c r="L100" s="55"/>
      <c r="M100" s="55"/>
      <c r="N100" s="55"/>
      <c r="O100" s="53">
        <f t="shared" si="6"/>
        <v>0</v>
      </c>
    </row>
    <row r="101" spans="1:15" x14ac:dyDescent="0.3">
      <c r="C101" s="3"/>
      <c r="D101" s="3" t="s">
        <v>683</v>
      </c>
      <c r="E101" s="55"/>
      <c r="F101" s="55"/>
      <c r="G101" s="55"/>
      <c r="H101" s="55"/>
      <c r="I101" s="55"/>
      <c r="J101" s="55"/>
      <c r="K101" s="55"/>
      <c r="L101" s="55"/>
      <c r="M101" s="55"/>
      <c r="N101" s="55"/>
      <c r="O101" s="53">
        <f t="shared" si="6"/>
        <v>0</v>
      </c>
    </row>
    <row r="102" spans="1:15" x14ac:dyDescent="0.3">
      <c r="C102" s="3"/>
      <c r="D102" s="3" t="s">
        <v>684</v>
      </c>
      <c r="E102" s="55"/>
      <c r="F102" s="55"/>
      <c r="G102" s="55"/>
      <c r="H102" s="55"/>
      <c r="I102" s="55"/>
      <c r="J102" s="55"/>
      <c r="K102" s="55"/>
      <c r="L102" s="55"/>
      <c r="M102" s="55"/>
      <c r="N102" s="55"/>
      <c r="O102" s="53">
        <f t="shared" si="6"/>
        <v>0</v>
      </c>
    </row>
    <row r="103" spans="1:15" x14ac:dyDescent="0.3">
      <c r="C103" s="3"/>
      <c r="D103" s="3" t="s">
        <v>685</v>
      </c>
      <c r="E103" s="55"/>
      <c r="F103" s="55"/>
      <c r="G103" s="55"/>
      <c r="H103" s="55"/>
      <c r="I103" s="55"/>
      <c r="J103" s="55"/>
      <c r="K103" s="55"/>
      <c r="L103" s="55"/>
      <c r="M103" s="55"/>
      <c r="N103" s="55"/>
      <c r="O103" s="53">
        <f t="shared" si="6"/>
        <v>0</v>
      </c>
    </row>
    <row r="104" spans="1:15" x14ac:dyDescent="0.3">
      <c r="A104" s="91"/>
      <c r="B104" s="91"/>
      <c r="C104" s="3"/>
      <c r="D104" s="144" t="s">
        <v>686</v>
      </c>
      <c r="E104" s="53">
        <f>SUM(E99:E103)</f>
        <v>0</v>
      </c>
      <c r="F104" s="53">
        <f t="shared" ref="F104:N104" si="7">SUM(F99:F103)</f>
        <v>0</v>
      </c>
      <c r="G104" s="53">
        <f t="shared" si="7"/>
        <v>0</v>
      </c>
      <c r="H104" s="53">
        <f t="shared" si="7"/>
        <v>0</v>
      </c>
      <c r="I104" s="53">
        <f t="shared" si="7"/>
        <v>0</v>
      </c>
      <c r="J104" s="53">
        <f t="shared" si="7"/>
        <v>0</v>
      </c>
      <c r="K104" s="53">
        <f t="shared" si="7"/>
        <v>0</v>
      </c>
      <c r="L104" s="53">
        <f t="shared" si="7"/>
        <v>0</v>
      </c>
      <c r="M104" s="53">
        <f t="shared" si="7"/>
        <v>0</v>
      </c>
      <c r="N104" s="53">
        <f t="shared" si="7"/>
        <v>0</v>
      </c>
      <c r="O104" s="53">
        <f t="shared" si="6"/>
        <v>0</v>
      </c>
    </row>
    <row r="105" spans="1:15" x14ac:dyDescent="0.3">
      <c r="A105" s="91"/>
      <c r="B105" s="91"/>
      <c r="C105" s="3"/>
      <c r="D105" s="144"/>
      <c r="E105" s="114"/>
      <c r="F105" s="114"/>
      <c r="G105" s="114"/>
      <c r="H105" s="114"/>
      <c r="I105" s="114"/>
      <c r="J105" s="114"/>
      <c r="K105" s="114"/>
      <c r="L105" s="114"/>
      <c r="M105" s="114"/>
      <c r="N105" s="114"/>
      <c r="O105" s="115"/>
    </row>
    <row r="106" spans="1:15" x14ac:dyDescent="0.3">
      <c r="A106" s="91"/>
      <c r="B106" s="91"/>
      <c r="C106" s="3"/>
      <c r="D106" s="144"/>
      <c r="E106" s="137" t="s">
        <v>18</v>
      </c>
      <c r="F106" s="137" t="s">
        <v>18</v>
      </c>
      <c r="G106" s="137" t="s">
        <v>18</v>
      </c>
      <c r="H106" s="137" t="s">
        <v>18</v>
      </c>
      <c r="I106" s="137" t="s">
        <v>18</v>
      </c>
      <c r="J106" s="137" t="s">
        <v>18</v>
      </c>
      <c r="K106" s="137" t="s">
        <v>18</v>
      </c>
      <c r="L106" s="137" t="s">
        <v>18</v>
      </c>
      <c r="M106" s="137" t="s">
        <v>18</v>
      </c>
      <c r="N106" s="137" t="s">
        <v>18</v>
      </c>
      <c r="O106" s="115"/>
    </row>
    <row r="107" spans="1:15" x14ac:dyDescent="0.3">
      <c r="A107" s="91"/>
      <c r="B107" s="91"/>
      <c r="C107" s="3"/>
      <c r="D107" s="144" t="s">
        <v>687</v>
      </c>
      <c r="E107" s="55"/>
      <c r="F107" s="55"/>
      <c r="G107" s="55"/>
      <c r="H107" s="55"/>
      <c r="I107" s="55"/>
      <c r="J107" s="55"/>
      <c r="K107" s="55"/>
      <c r="L107" s="55"/>
      <c r="M107" s="55"/>
      <c r="N107" s="55"/>
      <c r="O107" s="53">
        <f t="shared" si="6"/>
        <v>0</v>
      </c>
    </row>
    <row r="108" spans="1:15" x14ac:dyDescent="0.3">
      <c r="C108" s="3"/>
      <c r="D108" s="144" t="s">
        <v>688</v>
      </c>
      <c r="E108" s="55"/>
      <c r="F108" s="55"/>
      <c r="G108" s="55"/>
      <c r="H108" s="55"/>
      <c r="I108" s="55"/>
      <c r="J108" s="55"/>
      <c r="K108" s="55"/>
      <c r="L108" s="55"/>
      <c r="M108" s="55"/>
      <c r="N108" s="55"/>
      <c r="O108" s="53">
        <f t="shared" si="6"/>
        <v>0</v>
      </c>
    </row>
    <row r="109" spans="1:15" x14ac:dyDescent="0.3">
      <c r="C109" s="3"/>
      <c r="D109" s="3"/>
    </row>
    <row r="110" spans="1:15" ht="15" thickBot="1" x14ac:dyDescent="0.35">
      <c r="A110" s="91"/>
      <c r="C110" s="146"/>
      <c r="D110" s="145" t="s">
        <v>30</v>
      </c>
    </row>
    <row r="111" spans="1:15" x14ac:dyDescent="0.3">
      <c r="C111" s="3"/>
      <c r="D111" s="3"/>
    </row>
    <row r="112" spans="1:15" x14ac:dyDescent="0.3">
      <c r="C112" s="3"/>
      <c r="D112" s="3" t="s">
        <v>689</v>
      </c>
      <c r="E112" s="55"/>
      <c r="F112" s="55"/>
      <c r="G112" s="55"/>
      <c r="H112" s="55"/>
      <c r="I112" s="55"/>
      <c r="J112" s="55"/>
      <c r="K112" s="55"/>
      <c r="L112" s="55"/>
      <c r="M112" s="55"/>
      <c r="N112" s="55"/>
      <c r="O112" s="53">
        <f t="shared" ref="O112:O113" si="8">SUM(E112:N112)</f>
        <v>0</v>
      </c>
    </row>
    <row r="113" spans="3:15" x14ac:dyDescent="0.3">
      <c r="C113" s="3"/>
      <c r="D113" s="3" t="s">
        <v>690</v>
      </c>
      <c r="E113" s="55"/>
      <c r="F113" s="55"/>
      <c r="G113" s="55"/>
      <c r="H113" s="55"/>
      <c r="I113" s="55"/>
      <c r="J113" s="55"/>
      <c r="K113" s="55"/>
      <c r="L113" s="55"/>
      <c r="M113" s="55"/>
      <c r="N113" s="55"/>
      <c r="O113" s="53">
        <f t="shared" si="8"/>
        <v>0</v>
      </c>
    </row>
    <row r="114" spans="3:15" x14ac:dyDescent="0.3">
      <c r="C114" s="3"/>
      <c r="D114" s="3"/>
    </row>
    <row r="115" spans="3:15" x14ac:dyDescent="0.3">
      <c r="C115" s="3"/>
      <c r="D115" s="3" t="s">
        <v>691</v>
      </c>
      <c r="E115" s="55"/>
      <c r="F115" s="55"/>
      <c r="G115" s="55"/>
      <c r="H115" s="55"/>
      <c r="I115" s="55"/>
      <c r="J115" s="55"/>
      <c r="K115" s="55"/>
      <c r="L115" s="55"/>
      <c r="M115" s="55"/>
      <c r="N115" s="55"/>
      <c r="O115" s="53">
        <f t="shared" ref="O115:O116" si="9">SUM(E115:N115)</f>
        <v>0</v>
      </c>
    </row>
    <row r="116" spans="3:15" x14ac:dyDescent="0.3">
      <c r="C116" s="3"/>
      <c r="D116" s="3" t="s">
        <v>692</v>
      </c>
      <c r="E116" s="55"/>
      <c r="F116" s="55"/>
      <c r="G116" s="55"/>
      <c r="H116" s="55"/>
      <c r="I116" s="55"/>
      <c r="J116" s="55"/>
      <c r="K116" s="55"/>
      <c r="L116" s="55"/>
      <c r="M116" s="55"/>
      <c r="N116" s="55"/>
      <c r="O116" s="53">
        <f t="shared" si="9"/>
        <v>0</v>
      </c>
    </row>
    <row r="117" spans="3:15" x14ac:dyDescent="0.3">
      <c r="C117" s="3"/>
      <c r="D117" s="3"/>
    </row>
    <row r="118" spans="3:15" x14ac:dyDescent="0.3">
      <c r="C118" s="3"/>
      <c r="D118" s="3"/>
      <c r="E118" s="137" t="s">
        <v>30</v>
      </c>
      <c r="F118" s="137" t="s">
        <v>30</v>
      </c>
      <c r="G118" s="137" t="s">
        <v>30</v>
      </c>
      <c r="H118" s="137" t="s">
        <v>30</v>
      </c>
      <c r="I118" s="137" t="s">
        <v>30</v>
      </c>
      <c r="J118" s="137" t="s">
        <v>30</v>
      </c>
      <c r="K118" s="137" t="s">
        <v>30</v>
      </c>
      <c r="L118" s="137" t="s">
        <v>30</v>
      </c>
      <c r="M118" s="137" t="s">
        <v>30</v>
      </c>
      <c r="N118" s="137" t="s">
        <v>30</v>
      </c>
    </row>
    <row r="119" spans="3:15" x14ac:dyDescent="0.3">
      <c r="C119" s="3"/>
      <c r="D119" s="144" t="s">
        <v>693</v>
      </c>
      <c r="E119" s="55"/>
      <c r="F119" s="55"/>
      <c r="G119" s="55"/>
      <c r="H119" s="55"/>
      <c r="I119" s="55"/>
      <c r="J119" s="55"/>
      <c r="K119" s="55"/>
      <c r="L119" s="55"/>
      <c r="M119" s="55"/>
      <c r="N119" s="55"/>
      <c r="O119" s="53">
        <f>SUM(E119:N119)</f>
        <v>0</v>
      </c>
    </row>
    <row r="120" spans="3:15" x14ac:dyDescent="0.3">
      <c r="C120" s="3"/>
      <c r="D120" s="144" t="s">
        <v>694</v>
      </c>
      <c r="E120" s="55"/>
      <c r="F120" s="55"/>
      <c r="G120" s="55"/>
      <c r="H120" s="55"/>
      <c r="I120" s="55"/>
      <c r="J120" s="55"/>
      <c r="K120" s="55"/>
      <c r="L120" s="55"/>
      <c r="M120" s="55"/>
      <c r="N120" s="55"/>
      <c r="O120" s="53">
        <f t="shared" ref="O120" si="10">SUM(E120:N120)</f>
        <v>0</v>
      </c>
    </row>
    <row r="121" spans="3:15" x14ac:dyDescent="0.3">
      <c r="C121" s="3"/>
      <c r="D121" s="3"/>
    </row>
    <row r="122" spans="3:15" x14ac:dyDescent="0.3">
      <c r="C122" s="3"/>
      <c r="D122" s="3"/>
    </row>
    <row r="123" spans="3:15" ht="15" thickBot="1" x14ac:dyDescent="0.35">
      <c r="C123" s="146"/>
      <c r="D123" s="145" t="s">
        <v>695</v>
      </c>
      <c r="E123" s="134"/>
      <c r="F123" s="134"/>
      <c r="G123" s="134"/>
      <c r="H123" s="134"/>
      <c r="I123" s="134"/>
      <c r="J123" s="134"/>
      <c r="K123" s="134"/>
      <c r="L123" s="134"/>
      <c r="M123" s="134"/>
      <c r="N123" s="134"/>
    </row>
    <row r="124" spans="3:15" x14ac:dyDescent="0.3">
      <c r="C124" s="3"/>
      <c r="D124" s="144"/>
      <c r="E124" s="132"/>
      <c r="F124" s="132"/>
      <c r="G124" s="132"/>
      <c r="H124" s="132"/>
      <c r="I124" s="132"/>
      <c r="J124" s="132"/>
      <c r="K124" s="132"/>
      <c r="L124" s="132"/>
      <c r="M124" s="132"/>
      <c r="N124" s="132"/>
    </row>
    <row r="125" spans="3:15" x14ac:dyDescent="0.3">
      <c r="C125" s="3"/>
      <c r="D125" s="144" t="s">
        <v>696</v>
      </c>
    </row>
    <row r="126" spans="3:15" x14ac:dyDescent="0.3">
      <c r="C126" s="3"/>
      <c r="D126" s="144" t="s">
        <v>697</v>
      </c>
    </row>
    <row r="127" spans="3:15" x14ac:dyDescent="0.3">
      <c r="C127" s="3"/>
      <c r="D127" s="144" t="s">
        <v>698</v>
      </c>
    </row>
    <row r="128" spans="3:15" x14ac:dyDescent="0.3">
      <c r="C128" s="3"/>
      <c r="D128" s="3"/>
    </row>
    <row r="129" spans="3:14" x14ac:dyDescent="0.3">
      <c r="C129" s="3"/>
      <c r="D129" s="144"/>
      <c r="E129" s="132"/>
      <c r="F129" s="132"/>
      <c r="G129" s="132"/>
      <c r="H129" s="132"/>
      <c r="I129" s="132"/>
      <c r="J129" s="132"/>
      <c r="K129" s="132"/>
      <c r="L129" s="132"/>
      <c r="M129" s="132"/>
      <c r="N129" s="132"/>
    </row>
    <row r="130" spans="3:14" x14ac:dyDescent="0.3">
      <c r="C130" s="3"/>
      <c r="D130" s="144" t="s">
        <v>696</v>
      </c>
    </row>
    <row r="131" spans="3:14" x14ac:dyDescent="0.3">
      <c r="C131" s="3"/>
      <c r="D131" s="144" t="s">
        <v>697</v>
      </c>
    </row>
    <row r="132" spans="3:14" x14ac:dyDescent="0.3">
      <c r="C132" s="3"/>
      <c r="D132" s="144" t="s">
        <v>698</v>
      </c>
    </row>
    <row r="133" spans="3:14" x14ac:dyDescent="0.3">
      <c r="C133" s="3"/>
      <c r="D133" s="144"/>
    </row>
    <row r="134" spans="3:14" x14ac:dyDescent="0.3">
      <c r="C134" s="3"/>
      <c r="D134" s="144"/>
      <c r="E134" s="132"/>
      <c r="F134" s="132"/>
      <c r="G134" s="132"/>
      <c r="H134" s="132"/>
      <c r="I134" s="132"/>
      <c r="J134" s="132"/>
      <c r="K134" s="132"/>
      <c r="L134" s="132"/>
      <c r="M134" s="132"/>
      <c r="N134" s="132"/>
    </row>
    <row r="135" spans="3:14" x14ac:dyDescent="0.3">
      <c r="C135" s="3"/>
      <c r="D135" s="144" t="s">
        <v>696</v>
      </c>
    </row>
    <row r="136" spans="3:14" x14ac:dyDescent="0.3">
      <c r="C136" s="3"/>
      <c r="D136" s="144" t="s">
        <v>697</v>
      </c>
    </row>
    <row r="137" spans="3:14" x14ac:dyDescent="0.3">
      <c r="C137" s="3"/>
      <c r="D137" s="144" t="s">
        <v>698</v>
      </c>
    </row>
    <row r="138" spans="3:14" x14ac:dyDescent="0.3">
      <c r="C138" s="3"/>
      <c r="D138" s="144"/>
    </row>
    <row r="139" spans="3:14" x14ac:dyDescent="0.3">
      <c r="C139" s="3"/>
      <c r="D139" s="144"/>
      <c r="E139" s="132"/>
      <c r="F139" s="132"/>
      <c r="G139" s="132"/>
      <c r="H139" s="132"/>
      <c r="I139" s="132"/>
      <c r="J139" s="132"/>
      <c r="K139" s="132"/>
      <c r="L139" s="132"/>
      <c r="M139" s="132"/>
      <c r="N139" s="132"/>
    </row>
    <row r="140" spans="3:14" x14ac:dyDescent="0.3">
      <c r="C140" s="3"/>
      <c r="D140" s="144" t="s">
        <v>696</v>
      </c>
    </row>
    <row r="141" spans="3:14" x14ac:dyDescent="0.3">
      <c r="C141" s="3"/>
      <c r="D141" s="144" t="s">
        <v>697</v>
      </c>
    </row>
    <row r="142" spans="3:14" x14ac:dyDescent="0.3">
      <c r="C142" s="3"/>
      <c r="D142" s="144" t="s">
        <v>698</v>
      </c>
    </row>
    <row r="143" spans="3:14" x14ac:dyDescent="0.3">
      <c r="C143" s="3"/>
      <c r="D143" s="144"/>
    </row>
    <row r="144" spans="3:14" x14ac:dyDescent="0.3">
      <c r="C144" s="3"/>
      <c r="D144" s="144"/>
      <c r="E144" s="132"/>
      <c r="F144" s="132"/>
      <c r="G144" s="132"/>
      <c r="H144" s="132"/>
      <c r="I144" s="132"/>
      <c r="J144" s="132"/>
      <c r="K144" s="132"/>
      <c r="L144" s="132"/>
      <c r="M144" s="132"/>
      <c r="N144" s="132"/>
    </row>
    <row r="145" spans="3:14" x14ac:dyDescent="0.3">
      <c r="C145" s="3"/>
      <c r="D145" s="144" t="s">
        <v>696</v>
      </c>
    </row>
    <row r="146" spans="3:14" x14ac:dyDescent="0.3">
      <c r="C146" s="3"/>
      <c r="D146" s="144" t="s">
        <v>697</v>
      </c>
    </row>
    <row r="147" spans="3:14" x14ac:dyDescent="0.3">
      <c r="C147" s="3"/>
      <c r="D147" s="144" t="s">
        <v>698</v>
      </c>
    </row>
    <row r="148" spans="3:14" x14ac:dyDescent="0.3">
      <c r="C148" s="3"/>
      <c r="D148" s="144"/>
    </row>
    <row r="149" spans="3:14" x14ac:dyDescent="0.3">
      <c r="C149" s="3"/>
      <c r="D149" s="144"/>
      <c r="E149" s="132"/>
      <c r="F149" s="132"/>
      <c r="G149" s="132"/>
      <c r="H149" s="132"/>
      <c r="I149" s="132"/>
      <c r="J149" s="132"/>
      <c r="K149" s="132"/>
      <c r="L149" s="132"/>
      <c r="M149" s="132"/>
      <c r="N149" s="132"/>
    </row>
    <row r="150" spans="3:14" x14ac:dyDescent="0.3">
      <c r="C150" s="3"/>
      <c r="D150" s="144" t="s">
        <v>696</v>
      </c>
    </row>
    <row r="151" spans="3:14" x14ac:dyDescent="0.3">
      <c r="C151" s="3"/>
      <c r="D151" s="144" t="s">
        <v>697</v>
      </c>
    </row>
    <row r="152" spans="3:14" x14ac:dyDescent="0.3">
      <c r="C152" s="3"/>
      <c r="D152" s="144" t="s">
        <v>698</v>
      </c>
    </row>
    <row r="153" spans="3:14" x14ac:dyDescent="0.3">
      <c r="C153" s="3"/>
      <c r="D153" s="144"/>
    </row>
    <row r="154" spans="3:14" x14ac:dyDescent="0.3">
      <c r="C154" s="3"/>
      <c r="D154" s="144"/>
      <c r="E154" s="132"/>
      <c r="F154" s="132"/>
      <c r="G154" s="132"/>
      <c r="H154" s="132"/>
      <c r="I154" s="132"/>
      <c r="J154" s="132"/>
      <c r="K154" s="132"/>
      <c r="L154" s="132"/>
      <c r="M154" s="132"/>
      <c r="N154" s="132"/>
    </row>
    <row r="155" spans="3:14" x14ac:dyDescent="0.3">
      <c r="C155" s="3"/>
      <c r="D155" s="144" t="s">
        <v>696</v>
      </c>
    </row>
    <row r="156" spans="3:14" x14ac:dyDescent="0.3">
      <c r="C156" s="3"/>
      <c r="D156" s="144" t="s">
        <v>697</v>
      </c>
    </row>
    <row r="157" spans="3:14" x14ac:dyDescent="0.3">
      <c r="C157" s="3"/>
      <c r="D157" s="144" t="s">
        <v>698</v>
      </c>
    </row>
    <row r="158" spans="3:14" x14ac:dyDescent="0.3">
      <c r="C158" s="3"/>
      <c r="D158" s="144"/>
    </row>
    <row r="159" spans="3:14" x14ac:dyDescent="0.3">
      <c r="C159" s="3"/>
      <c r="D159" s="144"/>
      <c r="E159" s="132"/>
      <c r="F159" s="132"/>
      <c r="G159" s="132"/>
      <c r="H159" s="132"/>
      <c r="I159" s="132"/>
      <c r="J159" s="132"/>
      <c r="K159" s="132"/>
      <c r="L159" s="132"/>
      <c r="M159" s="132"/>
      <c r="N159" s="132"/>
    </row>
    <row r="160" spans="3:14" x14ac:dyDescent="0.3">
      <c r="C160" s="3"/>
      <c r="D160" s="144" t="s">
        <v>696</v>
      </c>
    </row>
    <row r="161" spans="3:9" x14ac:dyDescent="0.3">
      <c r="C161" s="3"/>
      <c r="D161" s="144" t="s">
        <v>697</v>
      </c>
    </row>
    <row r="162" spans="3:9" x14ac:dyDescent="0.3">
      <c r="C162" s="3"/>
      <c r="D162" s="144" t="s">
        <v>698</v>
      </c>
    </row>
    <row r="163" spans="3:9" x14ac:dyDescent="0.3">
      <c r="C163" s="3"/>
      <c r="D163" s="3"/>
    </row>
    <row r="164" spans="3:9" x14ac:dyDescent="0.3">
      <c r="C164" s="3"/>
      <c r="D164" s="3"/>
    </row>
    <row r="165" spans="3:9" ht="15" thickBot="1" x14ac:dyDescent="0.35">
      <c r="C165" s="146"/>
      <c r="D165" s="145" t="s">
        <v>699</v>
      </c>
    </row>
    <row r="166" spans="3:9" x14ac:dyDescent="0.3">
      <c r="D166" s="3" t="s">
        <v>700</v>
      </c>
      <c r="I166" s="140"/>
    </row>
    <row r="167" spans="3:9" x14ac:dyDescent="0.3">
      <c r="D167" s="132"/>
      <c r="E167" s="141">
        <f>+SUMIF('Schedule E -K-1 Summary'!E124:N124,D167,'Schedule E -K-1 Summary'!E125:N125)+SUMIF('Schedule E -K-1 Summary'!E129:N129,D167,'Schedule E -K-1 Summary'!E130:N130)+SUMIF('Schedule E -K-1 Summary'!E134:N134,D167,'Schedule E -K-1 Summary'!E135:N135)+SUMIF('Schedule E -K-1 Summary'!E139:N139,D167,'Schedule E -K-1 Summary'!E140:N140)+SUMIF('Schedule E -K-1 Summary'!E144:N144,D167,'Schedule E -K-1 Summary'!E145:N145)+SUMIF('Schedule E -K-1 Summary'!E149:N149,D167,'Schedule E -K-1 Summary'!E150:N150)+SUMIF('Schedule E -K-1 Summary'!E154:N154,D167,'Schedule E -K-1 Summary'!E155:N155)+SUMIF('Schedule E -K-1 Summary'!E159:N159,D167,'Schedule E -K-1 Summary'!E160:N160)</f>
        <v>0</v>
      </c>
    </row>
    <row r="168" spans="3:9" x14ac:dyDescent="0.3">
      <c r="D168" s="132"/>
      <c r="E168" s="141">
        <f>+SUMIF('Schedule E -K-1 Summary'!E124:N124,D168,'Schedule E -K-1 Summary'!E125:N125)+SUMIF('Schedule E -K-1 Summary'!E129:N129,D168,'Schedule E -K-1 Summary'!E130:N130)+SUMIF('Schedule E -K-1 Summary'!E134:N134,D168,'Schedule E -K-1 Summary'!E135:N135)+SUMIF('Schedule E -K-1 Summary'!E139:N139,D168,'Schedule E -K-1 Summary'!E140:N140)+SUMIF('Schedule E -K-1 Summary'!E144:N144,D168,'Schedule E -K-1 Summary'!E145:N145)+SUMIF('Schedule E -K-1 Summary'!E149:N149,D168,'Schedule E -K-1 Summary'!E150:N150)+SUMIF('Schedule E -K-1 Summary'!E154:N154,D168,'Schedule E -K-1 Summary'!E155:N155)+SUMIF('Schedule E -K-1 Summary'!E159:N159,D168,'Schedule E -K-1 Summary'!E160:N160)</f>
        <v>0</v>
      </c>
    </row>
    <row r="169" spans="3:9" x14ac:dyDescent="0.3">
      <c r="D169" s="132"/>
      <c r="E169" s="141">
        <f>+SUMIF('Schedule E -K-1 Summary'!E124:N124,D169,'Schedule E -K-1 Summary'!E125:N125)+SUMIF('Schedule E -K-1 Summary'!E129:N129,D169,'Schedule E -K-1 Summary'!E130:N130)+SUMIF('Schedule E -K-1 Summary'!E134:N134,D169,'Schedule E -K-1 Summary'!E135:N135)+SUMIF('Schedule E -K-1 Summary'!E139:N139,D169,'Schedule E -K-1 Summary'!E140:N140)+SUMIF('Schedule E -K-1 Summary'!E144:N144,D169,'Schedule E -K-1 Summary'!E145:N145)+SUMIF('Schedule E -K-1 Summary'!E149:N149,D169,'Schedule E -K-1 Summary'!E150:N150)+SUMIF('Schedule E -K-1 Summary'!E154:N154,D169,'Schedule E -K-1 Summary'!E155:N155)+SUMIF('Schedule E -K-1 Summary'!E159:N159,D169,'Schedule E -K-1 Summary'!E160:N160)</f>
        <v>0</v>
      </c>
    </row>
    <row r="170" spans="3:9" x14ac:dyDescent="0.3">
      <c r="D170" s="132"/>
      <c r="E170" s="141">
        <f>+SUMIF('Schedule E -K-1 Summary'!E124:N124,D170,'Schedule E -K-1 Summary'!E125:N125)+SUMIF('Schedule E -K-1 Summary'!E129:N129,D170,'Schedule E -K-1 Summary'!E130:N130)+SUMIF('Schedule E -K-1 Summary'!E134:N134,D170,'Schedule E -K-1 Summary'!E135:N135)+SUMIF('Schedule E -K-1 Summary'!E139:N139,D170,'Schedule E -K-1 Summary'!E140:N140)+SUMIF('Schedule E -K-1 Summary'!E144:N144,D170,'Schedule E -K-1 Summary'!E145:N145)+SUMIF('Schedule E -K-1 Summary'!E149:N149,D170,'Schedule E -K-1 Summary'!E150:N150)+SUMIF('Schedule E -K-1 Summary'!E154:N154,D170,'Schedule E -K-1 Summary'!E155:N155)+SUMIF('Schedule E -K-1 Summary'!E159:N159,D170,'Schedule E -K-1 Summary'!E160:N160)</f>
        <v>0</v>
      </c>
    </row>
    <row r="171" spans="3:9" x14ac:dyDescent="0.3">
      <c r="D171" s="132"/>
      <c r="E171" s="141">
        <f>+SUMIF('Schedule E -K-1 Summary'!E124:N124,D171,'Schedule E -K-1 Summary'!E125:N125)+SUMIF('Schedule E -K-1 Summary'!E129:N129,D171,'Schedule E -K-1 Summary'!E130:N130)+SUMIF('Schedule E -K-1 Summary'!E134:N134,D171,'Schedule E -K-1 Summary'!E135:N135)+SUMIF('Schedule E -K-1 Summary'!E139:N139,D171,'Schedule E -K-1 Summary'!E140:N140)+SUMIF('Schedule E -K-1 Summary'!E144:N144,D171,'Schedule E -K-1 Summary'!E145:N145)+SUMIF('Schedule E -K-1 Summary'!E149:N149,D171,'Schedule E -K-1 Summary'!E150:N150)+SUMIF('Schedule E -K-1 Summary'!E154:N154,D171,'Schedule E -K-1 Summary'!E155:N155)+SUMIF('Schedule E -K-1 Summary'!E159:N159,D171,'Schedule E -K-1 Summary'!E160:N160)</f>
        <v>0</v>
      </c>
    </row>
    <row r="172" spans="3:9" x14ac:dyDescent="0.3">
      <c r="D172" s="132"/>
      <c r="E172" s="141">
        <f>+SUMIF('Schedule E -K-1 Summary'!E124:N124,D172,'Schedule E -K-1 Summary'!E125:N125)+SUMIF('Schedule E -K-1 Summary'!E129:N129,D172,'Schedule E -K-1 Summary'!E130:N130)+SUMIF('Schedule E -K-1 Summary'!E134:N134,D172,'Schedule E -K-1 Summary'!E135:N135)+SUMIF('Schedule E -K-1 Summary'!E139:N139,D172,'Schedule E -K-1 Summary'!E140:N140)+SUMIF('Schedule E -K-1 Summary'!E144:N144,D172,'Schedule E -K-1 Summary'!E145:N145)+SUMIF('Schedule E -K-1 Summary'!E149:N149,D172,'Schedule E -K-1 Summary'!E150:N150)+SUMIF('Schedule E -K-1 Summary'!E154:N154,D172,'Schedule E -K-1 Summary'!E155:N155)+SUMIF('Schedule E -K-1 Summary'!E159:N159,D172,'Schedule E -K-1 Summary'!E160:N160)</f>
        <v>0</v>
      </c>
    </row>
    <row r="173" spans="3:9" x14ac:dyDescent="0.3">
      <c r="D173" s="132"/>
      <c r="E173" s="141">
        <f>+SUMIF('Schedule E -K-1 Summary'!E124:N124,D173,'Schedule E -K-1 Summary'!E125:N125)+SUMIF('Schedule E -K-1 Summary'!E129:N129,D173,'Schedule E -K-1 Summary'!E130:N130)+SUMIF('Schedule E -K-1 Summary'!E134:N134,D173,'Schedule E -K-1 Summary'!E135:N135)+SUMIF('Schedule E -K-1 Summary'!E139:N139,D173,'Schedule E -K-1 Summary'!E140:N140)+SUMIF('Schedule E -K-1 Summary'!E144:N144,D173,'Schedule E -K-1 Summary'!E145:N145)+SUMIF('Schedule E -K-1 Summary'!E149:N149,D173,'Schedule E -K-1 Summary'!E150:N150)+SUMIF('Schedule E -K-1 Summary'!E154:N154,D173,'Schedule E -K-1 Summary'!E155:N155)+SUMIF('Schedule E -K-1 Summary'!E159:N159,D173,'Schedule E -K-1 Summary'!E160:N160)</f>
        <v>0</v>
      </c>
    </row>
    <row r="174" spans="3:9" x14ac:dyDescent="0.3">
      <c r="D174" s="132"/>
      <c r="E174" s="141">
        <f>+SUMIF('Schedule E -K-1 Summary'!E124:N124,D174,'Schedule E -K-1 Summary'!E125:N125)+SUMIF('Schedule E -K-1 Summary'!E129:N129,D174,'Schedule E -K-1 Summary'!E130:N130)+SUMIF('Schedule E -K-1 Summary'!E134:N134,D174,'Schedule E -K-1 Summary'!E135:N135)+SUMIF('Schedule E -K-1 Summary'!E139:N139,D174,'Schedule E -K-1 Summary'!E140:N140)+SUMIF('Schedule E -K-1 Summary'!E144:N144,D174,'Schedule E -K-1 Summary'!E145:N145)+SUMIF('Schedule E -K-1 Summary'!E149:N149,D174,'Schedule E -K-1 Summary'!E150:N150)+SUMIF('Schedule E -K-1 Summary'!E154:N154,D174,'Schedule E -K-1 Summary'!E155:N155)+SUMIF('Schedule E -K-1 Summary'!E159:N159,D174,'Schedule E -K-1 Summary'!E160:N160)</f>
        <v>0</v>
      </c>
    </row>
    <row r="175" spans="3:9" x14ac:dyDescent="0.3">
      <c r="D175" s="132"/>
      <c r="E175" s="141">
        <f>+SUMIF('Schedule E -K-1 Summary'!E124:N124,D175,'Schedule E -K-1 Summary'!E125:N125)+SUMIF('Schedule E -K-1 Summary'!E129:N129,D175,'Schedule E -K-1 Summary'!E130:N130)+SUMIF('Schedule E -K-1 Summary'!E134:N134,D175,'Schedule E -K-1 Summary'!E135:N135)+SUMIF('Schedule E -K-1 Summary'!E139:N139,D175,'Schedule E -K-1 Summary'!E140:N140)+SUMIF('Schedule E -K-1 Summary'!E144:N144,D175,'Schedule E -K-1 Summary'!E145:N145)+SUMIF('Schedule E -K-1 Summary'!E149:N149,D175,'Schedule E -K-1 Summary'!E150:N150)+SUMIF('Schedule E -K-1 Summary'!E154:N154,D175,'Schedule E -K-1 Summary'!E155:N155)+SUMIF('Schedule E -K-1 Summary'!E159:N159,D175,'Schedule E -K-1 Summary'!E160:N160)</f>
        <v>0</v>
      </c>
    </row>
    <row r="176" spans="3:9" x14ac:dyDescent="0.3">
      <c r="D176" s="132"/>
      <c r="E176" s="141">
        <f>+SUMIF('Schedule E -K-1 Summary'!E124:N124,D176,'Schedule E -K-1 Summary'!E125:N125)+SUMIF('Schedule E -K-1 Summary'!E129:N129,D176,'Schedule E -K-1 Summary'!E130:N130)+SUMIF('Schedule E -K-1 Summary'!E134:N134,D176,'Schedule E -K-1 Summary'!E135:N135)+SUMIF('Schedule E -K-1 Summary'!E139:N139,D176,'Schedule E -K-1 Summary'!E140:N140)+SUMIF('Schedule E -K-1 Summary'!E144:N144,D176,'Schedule E -K-1 Summary'!E145:N145)+SUMIF('Schedule E -K-1 Summary'!E149:N149,D176,'Schedule E -K-1 Summary'!E150:N150)+SUMIF('Schedule E -K-1 Summary'!E154:N154,D176,'Schedule E -K-1 Summary'!E155:N155)+SUMIF('Schedule E -K-1 Summary'!E159:N159,D176,'Schedule E -K-1 Summary'!E160:N160)</f>
        <v>0</v>
      </c>
    </row>
    <row r="177" spans="4:5" x14ac:dyDescent="0.3">
      <c r="D177" s="132"/>
      <c r="E177" s="141">
        <f>+SUMIF('Schedule E -K-1 Summary'!E124:N124,D177,'Schedule E -K-1 Summary'!E125:N125)+SUMIF('Schedule E -K-1 Summary'!E129:N129,D177,'Schedule E -K-1 Summary'!E130:N130)+SUMIF('Schedule E -K-1 Summary'!E134:N134,D177,'Schedule E -K-1 Summary'!E135:N135)+SUMIF('Schedule E -K-1 Summary'!E139:N139,D177,'Schedule E -K-1 Summary'!E140:N140)+SUMIF('Schedule E -K-1 Summary'!E144:N144,D177,'Schedule E -K-1 Summary'!E145:N145)+SUMIF('Schedule E -K-1 Summary'!E149:N149,D177,'Schedule E -K-1 Summary'!E150:N150)+SUMIF('Schedule E -K-1 Summary'!E154:N154,D177,'Schedule E -K-1 Summary'!E155:N155)+SUMIF('Schedule E -K-1 Summary'!E159:N159,D177,'Schedule E -K-1 Summary'!E160:N160)</f>
        <v>0</v>
      </c>
    </row>
  </sheetData>
  <mergeCells count="1">
    <mergeCell ref="A2:A10"/>
  </mergeCells>
  <dataValidations count="3">
    <dataValidation type="list" allowBlank="1" showInputMessage="1" showErrorMessage="1" sqref="J54:N54" xr:uid="{00000000-0002-0000-0700-000000000000}">
      <formula1>$AB$3:$AB$4</formula1>
    </dataValidation>
    <dataValidation type="list" allowBlank="1" showInputMessage="1" showErrorMessage="1" sqref="J53:N53" xr:uid="{00000000-0002-0000-0700-000001000000}">
      <formula1>$AA$3:$AA$4</formula1>
    </dataValidation>
    <dataValidation type="list" allowBlank="1" showInputMessage="1" showErrorMessage="1" sqref="E13:I13" xr:uid="{00000000-0002-0000-0700-000002000000}">
      <formula1>$Z$3:$Z$8</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700-000003000000}">
          <x14:formula1>
            <xm:f>Lists!$D$1:$D$2</xm:f>
          </x14:formula1>
          <xm:sqref>J13:N13</xm:sqref>
        </x14:dataValidation>
        <x14:dataValidation type="list" allowBlank="1" showInputMessage="1" showErrorMessage="1" xr:uid="{00000000-0002-0000-0700-000004000000}">
          <x14:formula1>
            <xm:f>Lists!$C$1:$C$3</xm:f>
          </x14:formula1>
          <xm:sqref>J14:N14</xm:sqref>
        </x14:dataValidation>
        <x14:dataValidation type="list" allowBlank="1" showInputMessage="1" showErrorMessage="1" xr:uid="{00000000-0002-0000-0700-000005000000}">
          <x14:formula1>
            <xm:f>Lists!$B$1:$B$51</xm:f>
          </x14:formula1>
          <xm:sqref>E149:N149 E118:N118 E129:N129 E134:N134 E139:N139 E144:N144 E154:N154 E106:N106 E159:N159 E123:N124 D167:D177 J5:N5</xm:sqref>
        </x14:dataValidation>
        <x14:dataValidation type="list" allowBlank="1" showInputMessage="1" showErrorMessage="1" xr:uid="{00000000-0002-0000-0700-000006000000}">
          <x14:formula1>
            <xm:f>Lists!$A$1:$A$3</xm:f>
          </x14:formula1>
          <xm:sqref>J12:N12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Q72"/>
  <sheetViews>
    <sheetView workbookViewId="0"/>
  </sheetViews>
  <sheetFormatPr defaultRowHeight="14.4" x14ac:dyDescent="0.3"/>
  <cols>
    <col min="1" max="1" width="6.6640625" customWidth="1"/>
    <col min="2" max="2" width="7.6640625" customWidth="1"/>
    <col min="3" max="3" width="41.44140625" customWidth="1"/>
    <col min="4" max="4" width="10.5546875" bestFit="1" customWidth="1"/>
    <col min="5" max="5" width="2.33203125" customWidth="1"/>
    <col min="6" max="6" width="8.88671875" customWidth="1"/>
  </cols>
  <sheetData>
    <row r="1" spans="1:17" ht="15" thickBot="1" x14ac:dyDescent="0.35">
      <c r="C1" s="233" t="s">
        <v>56</v>
      </c>
      <c r="D1" s="234"/>
    </row>
    <row r="2" spans="1:17" ht="15" thickBot="1" x14ac:dyDescent="0.35">
      <c r="C2" s="236" t="s">
        <v>57</v>
      </c>
      <c r="D2" s="237"/>
    </row>
    <row r="4" spans="1:17" x14ac:dyDescent="0.3">
      <c r="A4" s="57"/>
      <c r="B4" s="91" t="s">
        <v>543</v>
      </c>
    </row>
    <row r="5" spans="1:17" x14ac:dyDescent="0.3">
      <c r="A5" s="151" t="s">
        <v>79</v>
      </c>
      <c r="C5" s="59"/>
    </row>
    <row r="6" spans="1:17" s="91" customFormat="1" x14ac:dyDescent="0.3">
      <c r="A6" s="91" t="s">
        <v>701</v>
      </c>
      <c r="B6" s="91" t="s">
        <v>62</v>
      </c>
      <c r="D6" s="91" t="s">
        <v>702</v>
      </c>
      <c r="F6" s="34" t="s">
        <v>703</v>
      </c>
      <c r="G6" s="34" t="s">
        <v>704</v>
      </c>
      <c r="H6" s="34" t="s">
        <v>705</v>
      </c>
      <c r="I6" s="34" t="s">
        <v>706</v>
      </c>
      <c r="J6" s="34" t="s">
        <v>707</v>
      </c>
      <c r="K6" s="34" t="s">
        <v>708</v>
      </c>
      <c r="L6" s="34" t="s">
        <v>709</v>
      </c>
      <c r="M6" s="34" t="s">
        <v>710</v>
      </c>
      <c r="N6" s="34" t="s">
        <v>711</v>
      </c>
      <c r="O6" s="34" t="s">
        <v>712</v>
      </c>
      <c r="P6" s="34" t="s">
        <v>713</v>
      </c>
      <c r="Q6" s="34" t="s">
        <v>714</v>
      </c>
    </row>
    <row r="7" spans="1:17" x14ac:dyDescent="0.3">
      <c r="A7" s="3">
        <v>1</v>
      </c>
      <c r="B7" t="s">
        <v>715</v>
      </c>
      <c r="D7" s="59"/>
      <c r="F7" s="99"/>
      <c r="G7" s="99"/>
      <c r="H7" s="99"/>
      <c r="I7" s="99"/>
      <c r="J7" s="99"/>
      <c r="K7" s="99"/>
      <c r="L7" s="99"/>
      <c r="M7" s="99"/>
      <c r="N7" s="99"/>
      <c r="O7" s="99"/>
      <c r="P7" s="99"/>
      <c r="Q7" s="149">
        <f>SUM(F7:P7)</f>
        <v>0</v>
      </c>
    </row>
    <row r="8" spans="1:17" x14ac:dyDescent="0.3">
      <c r="A8" s="3">
        <v>2</v>
      </c>
      <c r="B8" t="s">
        <v>716</v>
      </c>
      <c r="D8" s="59"/>
      <c r="F8" s="99"/>
      <c r="G8" s="99"/>
      <c r="H8" s="99"/>
      <c r="I8" s="99"/>
      <c r="J8" s="99"/>
      <c r="K8" s="99"/>
      <c r="L8" s="99"/>
      <c r="M8" s="99"/>
      <c r="N8" s="99"/>
      <c r="O8" s="99"/>
      <c r="P8" s="99"/>
      <c r="Q8" s="149">
        <f t="shared" ref="Q8:Q56" si="0">SUM(F8:P8)</f>
        <v>0</v>
      </c>
    </row>
    <row r="9" spans="1:17" x14ac:dyDescent="0.3">
      <c r="A9" s="3">
        <v>4</v>
      </c>
      <c r="B9" t="s">
        <v>717</v>
      </c>
      <c r="D9" s="59"/>
      <c r="F9" s="99"/>
      <c r="G9" s="99"/>
      <c r="H9" s="99"/>
      <c r="I9" s="99"/>
      <c r="J9" s="99"/>
      <c r="K9" s="99"/>
      <c r="L9" s="99"/>
      <c r="M9" s="99"/>
      <c r="N9" s="99"/>
      <c r="O9" s="99"/>
      <c r="P9" s="99"/>
      <c r="Q9" s="149">
        <f t="shared" si="0"/>
        <v>0</v>
      </c>
    </row>
    <row r="10" spans="1:17" x14ac:dyDescent="0.3">
      <c r="A10" s="3"/>
      <c r="C10" t="s">
        <v>718</v>
      </c>
      <c r="D10" s="59"/>
      <c r="F10" s="99"/>
      <c r="G10" s="99"/>
      <c r="H10" s="99"/>
      <c r="I10" s="99"/>
      <c r="J10" s="99"/>
      <c r="K10" s="99"/>
      <c r="L10" s="99"/>
      <c r="M10" s="99"/>
      <c r="N10" s="99"/>
      <c r="O10" s="99"/>
      <c r="P10" s="99"/>
      <c r="Q10" s="149">
        <f t="shared" si="0"/>
        <v>0</v>
      </c>
    </row>
    <row r="11" spans="1:17" x14ac:dyDescent="0.3">
      <c r="A11" s="3"/>
      <c r="C11" t="s">
        <v>719</v>
      </c>
      <c r="D11" s="59"/>
      <c r="F11" s="99"/>
      <c r="G11" s="99"/>
      <c r="H11" s="99"/>
      <c r="I11" s="99"/>
      <c r="J11" s="99"/>
      <c r="K11" s="99"/>
      <c r="L11" s="99"/>
      <c r="M11" s="99"/>
      <c r="N11" s="99"/>
      <c r="O11" s="99"/>
      <c r="P11" s="99"/>
      <c r="Q11" s="149">
        <f t="shared" si="0"/>
        <v>0</v>
      </c>
    </row>
    <row r="12" spans="1:17" x14ac:dyDescent="0.3">
      <c r="A12" s="3"/>
      <c r="C12" t="s">
        <v>720</v>
      </c>
      <c r="D12" s="59"/>
      <c r="F12" s="99"/>
      <c r="G12" s="99"/>
      <c r="H12" s="99"/>
      <c r="I12" s="99"/>
      <c r="J12" s="99"/>
      <c r="K12" s="99"/>
      <c r="L12" s="99"/>
      <c r="M12" s="99"/>
      <c r="N12" s="99"/>
      <c r="O12" s="99"/>
      <c r="P12" s="99"/>
      <c r="Q12" s="149">
        <f t="shared" si="0"/>
        <v>0</v>
      </c>
    </row>
    <row r="13" spans="1:17" x14ac:dyDescent="0.3">
      <c r="A13" s="3"/>
      <c r="C13" t="s">
        <v>721</v>
      </c>
      <c r="D13" s="59"/>
      <c r="F13" s="99"/>
      <c r="G13" s="99"/>
      <c r="H13" s="99"/>
      <c r="I13" s="99"/>
      <c r="J13" s="99"/>
      <c r="K13" s="99"/>
      <c r="L13" s="99"/>
      <c r="M13" s="99"/>
      <c r="N13" s="99"/>
      <c r="O13" s="99"/>
      <c r="P13" s="99"/>
      <c r="Q13" s="149">
        <f t="shared" si="0"/>
        <v>0</v>
      </c>
    </row>
    <row r="14" spans="1:17" x14ac:dyDescent="0.3">
      <c r="A14" s="3"/>
      <c r="C14" t="s">
        <v>722</v>
      </c>
      <c r="D14" s="59"/>
      <c r="F14" s="99"/>
      <c r="G14" s="99"/>
      <c r="H14" s="99"/>
      <c r="I14" s="99"/>
      <c r="J14" s="99"/>
      <c r="K14" s="99"/>
      <c r="L14" s="99"/>
      <c r="M14" s="99"/>
      <c r="N14" s="99"/>
      <c r="O14" s="99"/>
      <c r="P14" s="99"/>
      <c r="Q14" s="149">
        <f t="shared" si="0"/>
        <v>0</v>
      </c>
    </row>
    <row r="15" spans="1:17" x14ac:dyDescent="0.3">
      <c r="A15" s="3"/>
      <c r="C15" t="s">
        <v>723</v>
      </c>
      <c r="D15" s="59"/>
      <c r="F15" s="99"/>
      <c r="G15" s="99"/>
      <c r="H15" s="99"/>
      <c r="I15" s="99"/>
      <c r="J15" s="99"/>
      <c r="K15" s="99"/>
      <c r="L15" s="99"/>
      <c r="M15" s="99"/>
      <c r="N15" s="99"/>
      <c r="O15" s="99"/>
      <c r="P15" s="99"/>
      <c r="Q15" s="149">
        <f t="shared" si="0"/>
        <v>0</v>
      </c>
    </row>
    <row r="16" spans="1:17" x14ac:dyDescent="0.3">
      <c r="A16" s="3">
        <v>6</v>
      </c>
      <c r="B16" t="s">
        <v>724</v>
      </c>
      <c r="D16" s="59"/>
      <c r="F16" s="99"/>
      <c r="G16" s="99"/>
      <c r="H16" s="99"/>
      <c r="I16" s="99"/>
      <c r="J16" s="99"/>
      <c r="K16" s="99"/>
      <c r="L16" s="99"/>
      <c r="M16" s="99"/>
      <c r="N16" s="99"/>
      <c r="O16" s="99"/>
      <c r="P16" s="99"/>
      <c r="Q16" s="149">
        <f t="shared" si="0"/>
        <v>0</v>
      </c>
    </row>
    <row r="17" spans="1:17" x14ac:dyDescent="0.3">
      <c r="A17" s="3">
        <v>8</v>
      </c>
      <c r="B17" t="s">
        <v>725</v>
      </c>
      <c r="D17" s="59"/>
      <c r="F17" s="99"/>
      <c r="G17" s="99"/>
      <c r="H17" s="99"/>
      <c r="I17" s="99"/>
      <c r="J17" s="99"/>
      <c r="K17" s="99"/>
      <c r="L17" s="99"/>
      <c r="M17" s="99"/>
      <c r="N17" s="99"/>
      <c r="O17" s="99"/>
      <c r="P17" s="99"/>
      <c r="Q17" s="149">
        <f t="shared" si="0"/>
        <v>0</v>
      </c>
    </row>
    <row r="18" spans="1:17" x14ac:dyDescent="0.3">
      <c r="A18" s="3">
        <v>9</v>
      </c>
      <c r="B18" t="s">
        <v>726</v>
      </c>
      <c r="D18" s="59"/>
      <c r="F18" s="99"/>
      <c r="G18" s="99"/>
      <c r="H18" s="99"/>
      <c r="I18" s="99"/>
      <c r="J18" s="99"/>
      <c r="K18" s="99"/>
      <c r="L18" s="99"/>
      <c r="M18" s="99"/>
      <c r="N18" s="99"/>
      <c r="O18" s="99"/>
      <c r="P18" s="99"/>
      <c r="Q18" s="149">
        <f t="shared" si="0"/>
        <v>0</v>
      </c>
    </row>
    <row r="19" spans="1:17" x14ac:dyDescent="0.3">
      <c r="A19" s="3">
        <v>10</v>
      </c>
      <c r="B19" t="s">
        <v>727</v>
      </c>
      <c r="D19" s="59"/>
      <c r="F19" s="99"/>
      <c r="G19" s="99"/>
      <c r="H19" s="99"/>
      <c r="I19" s="99"/>
      <c r="J19" s="99"/>
      <c r="K19" s="99"/>
      <c r="L19" s="99"/>
      <c r="M19" s="99"/>
      <c r="N19" s="99"/>
      <c r="O19" s="99"/>
      <c r="P19" s="99"/>
      <c r="Q19" s="149">
        <f t="shared" si="0"/>
        <v>0</v>
      </c>
    </row>
    <row r="20" spans="1:17" x14ac:dyDescent="0.3">
      <c r="A20" s="3">
        <v>11</v>
      </c>
      <c r="B20" t="s">
        <v>728</v>
      </c>
      <c r="D20" s="59"/>
      <c r="F20" s="99"/>
      <c r="G20" s="99"/>
      <c r="H20" s="99"/>
      <c r="I20" s="99"/>
      <c r="J20" s="99"/>
      <c r="K20" s="99"/>
      <c r="L20" s="99"/>
      <c r="M20" s="99"/>
      <c r="N20" s="99"/>
      <c r="O20" s="99"/>
      <c r="P20" s="99"/>
      <c r="Q20" s="149">
        <f t="shared" si="0"/>
        <v>0</v>
      </c>
    </row>
    <row r="21" spans="1:17" x14ac:dyDescent="0.3">
      <c r="A21" s="3">
        <v>12</v>
      </c>
      <c r="B21" t="s">
        <v>729</v>
      </c>
      <c r="D21" s="59"/>
      <c r="F21" s="99"/>
      <c r="G21" s="99"/>
      <c r="H21" s="99"/>
      <c r="I21" s="99"/>
      <c r="J21" s="99"/>
      <c r="K21" s="99"/>
      <c r="L21" s="99"/>
      <c r="M21" s="99"/>
      <c r="N21" s="99"/>
      <c r="O21" s="99"/>
      <c r="P21" s="99"/>
      <c r="Q21" s="149">
        <f t="shared" si="0"/>
        <v>0</v>
      </c>
    </row>
    <row r="22" spans="1:17" x14ac:dyDescent="0.3">
      <c r="A22" s="3">
        <v>13</v>
      </c>
      <c r="B22" t="s">
        <v>730</v>
      </c>
      <c r="D22" s="59"/>
      <c r="F22" s="99"/>
      <c r="G22" s="99"/>
      <c r="H22" s="99"/>
      <c r="I22" s="99"/>
      <c r="J22" s="99"/>
      <c r="K22" s="99"/>
      <c r="L22" s="99"/>
      <c r="M22" s="99"/>
      <c r="N22" s="99"/>
      <c r="O22" s="99"/>
      <c r="P22" s="99"/>
      <c r="Q22" s="149">
        <f t="shared" si="0"/>
        <v>0</v>
      </c>
    </row>
    <row r="23" spans="1:17" x14ac:dyDescent="0.3">
      <c r="A23" s="3">
        <v>14</v>
      </c>
      <c r="B23" t="s">
        <v>731</v>
      </c>
      <c r="D23" s="59"/>
      <c r="F23" s="99"/>
      <c r="G23" s="99"/>
      <c r="H23" s="99"/>
      <c r="I23" s="99"/>
      <c r="J23" s="99"/>
      <c r="K23" s="99"/>
      <c r="L23" s="99"/>
      <c r="M23" s="99"/>
      <c r="N23" s="99"/>
      <c r="O23" s="99"/>
      <c r="P23" s="99"/>
      <c r="Q23" s="149">
        <f t="shared" si="0"/>
        <v>0</v>
      </c>
    </row>
    <row r="24" spans="1:17" x14ac:dyDescent="0.3">
      <c r="A24" s="3">
        <v>15</v>
      </c>
      <c r="B24" t="s">
        <v>732</v>
      </c>
      <c r="D24" s="59"/>
      <c r="F24" s="99"/>
      <c r="G24" s="99"/>
      <c r="H24" s="99"/>
      <c r="I24" s="99"/>
      <c r="J24" s="99"/>
      <c r="K24" s="99"/>
      <c r="L24" s="99"/>
      <c r="M24" s="99"/>
      <c r="N24" s="99"/>
      <c r="O24" s="99"/>
      <c r="P24" s="99"/>
      <c r="Q24" s="149">
        <f t="shared" si="0"/>
        <v>0</v>
      </c>
    </row>
    <row r="25" spans="1:17" x14ac:dyDescent="0.3">
      <c r="A25" s="3" t="s">
        <v>406</v>
      </c>
      <c r="B25" t="s">
        <v>733</v>
      </c>
      <c r="D25" s="59"/>
      <c r="F25" s="99"/>
      <c r="G25" s="99"/>
      <c r="H25" s="99"/>
      <c r="I25" s="99"/>
      <c r="J25" s="99"/>
      <c r="K25" s="99"/>
      <c r="L25" s="99"/>
      <c r="M25" s="99"/>
      <c r="N25" s="99"/>
      <c r="O25" s="99"/>
      <c r="P25" s="99"/>
      <c r="Q25" s="149">
        <f t="shared" si="0"/>
        <v>0</v>
      </c>
    </row>
    <row r="26" spans="1:17" x14ac:dyDescent="0.3">
      <c r="A26" s="3" t="s">
        <v>407</v>
      </c>
      <c r="B26" t="s">
        <v>734</v>
      </c>
      <c r="D26" s="59"/>
      <c r="F26" s="99"/>
      <c r="G26" s="99"/>
      <c r="H26" s="99"/>
      <c r="I26" s="99"/>
      <c r="J26" s="99"/>
      <c r="K26" s="99"/>
      <c r="L26" s="99"/>
      <c r="M26" s="99"/>
      <c r="N26" s="99"/>
      <c r="O26" s="99"/>
      <c r="P26" s="99"/>
      <c r="Q26" s="149">
        <f t="shared" si="0"/>
        <v>0</v>
      </c>
    </row>
    <row r="27" spans="1:17" x14ac:dyDescent="0.3">
      <c r="A27" s="3">
        <v>17</v>
      </c>
      <c r="B27" t="s">
        <v>735</v>
      </c>
      <c r="D27" s="59"/>
      <c r="F27" s="99"/>
      <c r="G27" s="99"/>
      <c r="H27" s="99"/>
      <c r="I27" s="99"/>
      <c r="J27" s="99"/>
      <c r="K27" s="99"/>
      <c r="L27" s="99"/>
      <c r="M27" s="99"/>
      <c r="N27" s="99"/>
      <c r="O27" s="99"/>
      <c r="P27" s="99"/>
      <c r="Q27" s="149">
        <f t="shared" si="0"/>
        <v>0</v>
      </c>
    </row>
    <row r="28" spans="1:17" x14ac:dyDescent="0.3">
      <c r="A28" s="3">
        <v>18</v>
      </c>
      <c r="B28" t="s">
        <v>736</v>
      </c>
      <c r="D28" s="59"/>
      <c r="F28" s="99"/>
      <c r="G28" s="99"/>
      <c r="H28" s="99"/>
      <c r="I28" s="99"/>
      <c r="J28" s="99"/>
      <c r="K28" s="99"/>
      <c r="L28" s="99"/>
      <c r="M28" s="99"/>
      <c r="N28" s="99"/>
      <c r="O28" s="99"/>
      <c r="P28" s="99"/>
      <c r="Q28" s="149">
        <f t="shared" si="0"/>
        <v>0</v>
      </c>
    </row>
    <row r="29" spans="1:17" x14ac:dyDescent="0.3">
      <c r="A29" s="3">
        <v>19</v>
      </c>
      <c r="B29" t="s">
        <v>737</v>
      </c>
      <c r="D29" s="59"/>
      <c r="F29" s="99"/>
      <c r="G29" s="99"/>
      <c r="H29" s="99"/>
      <c r="I29" s="99"/>
      <c r="J29" s="99"/>
      <c r="K29" s="99"/>
      <c r="L29" s="99"/>
      <c r="M29" s="99"/>
      <c r="N29" s="99"/>
      <c r="O29" s="99"/>
      <c r="P29" s="99"/>
      <c r="Q29" s="149">
        <f t="shared" si="0"/>
        <v>0</v>
      </c>
    </row>
    <row r="30" spans="1:17" x14ac:dyDescent="0.3">
      <c r="A30" s="3" t="s">
        <v>738</v>
      </c>
      <c r="B30" t="s">
        <v>739</v>
      </c>
      <c r="D30" s="59"/>
      <c r="F30" s="99"/>
      <c r="G30" s="99"/>
      <c r="H30" s="99"/>
      <c r="I30" s="99"/>
      <c r="J30" s="99"/>
      <c r="K30" s="99"/>
      <c r="L30" s="99"/>
      <c r="M30" s="99"/>
      <c r="N30" s="99"/>
      <c r="O30" s="99"/>
      <c r="P30" s="99"/>
      <c r="Q30" s="149">
        <f t="shared" si="0"/>
        <v>0</v>
      </c>
    </row>
    <row r="31" spans="1:17" x14ac:dyDescent="0.3">
      <c r="A31" s="3" t="s">
        <v>740</v>
      </c>
      <c r="B31" t="s">
        <v>741</v>
      </c>
      <c r="D31" s="59"/>
      <c r="F31" s="99"/>
      <c r="G31" s="99"/>
      <c r="H31" s="99"/>
      <c r="I31" s="99"/>
      <c r="J31" s="99"/>
      <c r="K31" s="99"/>
      <c r="L31" s="99"/>
      <c r="M31" s="99"/>
      <c r="N31" s="99"/>
      <c r="O31" s="99"/>
      <c r="P31" s="99"/>
      <c r="Q31" s="149">
        <f t="shared" si="0"/>
        <v>0</v>
      </c>
    </row>
    <row r="32" spans="1:17" x14ac:dyDescent="0.3">
      <c r="A32" s="3">
        <v>21</v>
      </c>
      <c r="B32" t="s">
        <v>742</v>
      </c>
      <c r="D32" s="59"/>
      <c r="F32" s="99"/>
      <c r="G32" s="99"/>
      <c r="H32" s="99"/>
      <c r="I32" s="99"/>
      <c r="J32" s="99"/>
      <c r="K32" s="99"/>
      <c r="L32" s="99"/>
      <c r="M32" s="99"/>
      <c r="N32" s="99"/>
      <c r="O32" s="99"/>
      <c r="P32" s="99"/>
      <c r="Q32" s="149">
        <f t="shared" si="0"/>
        <v>0</v>
      </c>
    </row>
    <row r="33" spans="1:17" x14ac:dyDescent="0.3">
      <c r="A33" s="3">
        <v>22</v>
      </c>
      <c r="B33" t="s">
        <v>743</v>
      </c>
      <c r="D33" s="59"/>
      <c r="F33" s="99"/>
      <c r="G33" s="99"/>
      <c r="H33" s="99"/>
      <c r="I33" s="99"/>
      <c r="J33" s="99"/>
      <c r="K33" s="99"/>
      <c r="L33" s="99"/>
      <c r="M33" s="99"/>
      <c r="N33" s="99"/>
      <c r="O33" s="99"/>
      <c r="P33" s="99"/>
      <c r="Q33" s="149">
        <f t="shared" si="0"/>
        <v>0</v>
      </c>
    </row>
    <row r="34" spans="1:17" x14ac:dyDescent="0.3">
      <c r="A34" s="3">
        <v>23</v>
      </c>
      <c r="B34" t="s">
        <v>744</v>
      </c>
      <c r="D34" s="59"/>
      <c r="F34" s="99"/>
      <c r="G34" s="99"/>
      <c r="H34" s="99"/>
      <c r="I34" s="99"/>
      <c r="J34" s="99"/>
      <c r="K34" s="99"/>
      <c r="L34" s="99"/>
      <c r="M34" s="99"/>
      <c r="N34" s="99"/>
      <c r="O34" s="99"/>
      <c r="P34" s="99"/>
      <c r="Q34" s="149">
        <f t="shared" si="0"/>
        <v>0</v>
      </c>
    </row>
    <row r="35" spans="1:17" x14ac:dyDescent="0.3">
      <c r="A35" s="3" t="s">
        <v>745</v>
      </c>
      <c r="B35" t="s">
        <v>746</v>
      </c>
      <c r="D35" s="59"/>
      <c r="F35" s="99"/>
      <c r="G35" s="99"/>
      <c r="H35" s="99"/>
      <c r="I35" s="99"/>
      <c r="J35" s="99"/>
      <c r="K35" s="99"/>
      <c r="L35" s="99"/>
      <c r="M35" s="99"/>
      <c r="N35" s="99"/>
      <c r="O35" s="99"/>
      <c r="P35" s="99"/>
      <c r="Q35" s="149">
        <f t="shared" si="0"/>
        <v>0</v>
      </c>
    </row>
    <row r="36" spans="1:17" x14ac:dyDescent="0.3">
      <c r="A36" s="3" t="s">
        <v>747</v>
      </c>
      <c r="B36" t="s">
        <v>748</v>
      </c>
      <c r="D36" s="59"/>
      <c r="F36" s="99"/>
      <c r="G36" s="99"/>
      <c r="H36" s="99"/>
      <c r="I36" s="99"/>
      <c r="J36" s="99"/>
      <c r="K36" s="99"/>
      <c r="L36" s="99"/>
      <c r="M36" s="99"/>
      <c r="N36" s="99"/>
      <c r="O36" s="99"/>
      <c r="P36" s="99"/>
      <c r="Q36" s="149">
        <f t="shared" si="0"/>
        <v>0</v>
      </c>
    </row>
    <row r="37" spans="1:17" x14ac:dyDescent="0.3">
      <c r="A37" s="3">
        <v>25</v>
      </c>
      <c r="B37" t="s">
        <v>749</v>
      </c>
      <c r="D37" s="59"/>
      <c r="F37" s="99"/>
      <c r="G37" s="99"/>
      <c r="H37" s="99"/>
      <c r="I37" s="99"/>
      <c r="J37" s="99"/>
      <c r="K37" s="99"/>
      <c r="L37" s="99"/>
      <c r="M37" s="99"/>
      <c r="N37" s="99"/>
      <c r="O37" s="99"/>
      <c r="P37" s="99"/>
      <c r="Q37" s="149">
        <f t="shared" si="0"/>
        <v>0</v>
      </c>
    </row>
    <row r="38" spans="1:17" x14ac:dyDescent="0.3">
      <c r="A38" s="3">
        <v>26</v>
      </c>
      <c r="B38" t="s">
        <v>750</v>
      </c>
      <c r="D38" s="59"/>
      <c r="F38" s="99"/>
      <c r="G38" s="99"/>
      <c r="H38" s="99"/>
      <c r="I38" s="99"/>
      <c r="J38" s="99"/>
      <c r="K38" s="99"/>
      <c r="L38" s="99"/>
      <c r="M38" s="99"/>
      <c r="N38" s="99"/>
      <c r="O38" s="99"/>
      <c r="P38" s="99"/>
      <c r="Q38" s="149">
        <f t="shared" si="0"/>
        <v>0</v>
      </c>
    </row>
    <row r="39" spans="1:17" x14ac:dyDescent="0.3">
      <c r="A39" s="3" t="s">
        <v>751</v>
      </c>
      <c r="B39" t="s">
        <v>752</v>
      </c>
      <c r="D39" s="59"/>
      <c r="F39" s="99"/>
      <c r="G39" s="99"/>
      <c r="H39" s="99"/>
      <c r="I39" s="99"/>
      <c r="J39" s="99"/>
      <c r="K39" s="99"/>
      <c r="L39" s="99"/>
      <c r="M39" s="99"/>
      <c r="N39" s="99"/>
      <c r="O39" s="99"/>
      <c r="P39" s="99"/>
      <c r="Q39" s="149">
        <f t="shared" si="0"/>
        <v>0</v>
      </c>
    </row>
    <row r="40" spans="1:17" x14ac:dyDescent="0.3">
      <c r="A40" s="3"/>
      <c r="C40" s="59"/>
      <c r="D40" s="59"/>
      <c r="F40" s="99"/>
      <c r="G40" s="99"/>
      <c r="H40" s="99"/>
      <c r="I40" s="99"/>
      <c r="J40" s="99"/>
      <c r="K40" s="99"/>
      <c r="L40" s="99"/>
      <c r="M40" s="99"/>
      <c r="N40" s="99"/>
      <c r="O40" s="99"/>
      <c r="P40" s="99"/>
      <c r="Q40" s="149">
        <f t="shared" si="0"/>
        <v>0</v>
      </c>
    </row>
    <row r="41" spans="1:17" x14ac:dyDescent="0.3">
      <c r="C41" s="59"/>
      <c r="D41" s="59"/>
      <c r="F41" s="99"/>
      <c r="G41" s="99"/>
      <c r="H41" s="99"/>
      <c r="I41" s="99"/>
      <c r="J41" s="99"/>
      <c r="K41" s="99"/>
      <c r="L41" s="99"/>
      <c r="M41" s="99"/>
      <c r="N41" s="99"/>
      <c r="O41" s="99"/>
      <c r="P41" s="99"/>
      <c r="Q41" s="149">
        <f t="shared" si="0"/>
        <v>0</v>
      </c>
    </row>
    <row r="42" spans="1:17" x14ac:dyDescent="0.3">
      <c r="C42" s="59"/>
      <c r="D42" s="59"/>
      <c r="F42" s="99"/>
      <c r="G42" s="99"/>
      <c r="H42" s="99"/>
      <c r="I42" s="99"/>
      <c r="J42" s="99"/>
      <c r="K42" s="99"/>
      <c r="L42" s="99"/>
      <c r="M42" s="99"/>
      <c r="N42" s="99"/>
      <c r="O42" s="99"/>
      <c r="P42" s="99"/>
      <c r="Q42" s="149">
        <f t="shared" si="0"/>
        <v>0</v>
      </c>
    </row>
    <row r="43" spans="1:17" x14ac:dyDescent="0.3">
      <c r="C43" s="59"/>
      <c r="D43" s="59"/>
      <c r="F43" s="99"/>
      <c r="G43" s="99"/>
      <c r="H43" s="99"/>
      <c r="I43" s="99"/>
      <c r="J43" s="99"/>
      <c r="K43" s="99"/>
      <c r="L43" s="99"/>
      <c r="M43" s="99"/>
      <c r="N43" s="99"/>
      <c r="O43" s="99"/>
      <c r="P43" s="99"/>
      <c r="Q43" s="149">
        <f t="shared" si="0"/>
        <v>0</v>
      </c>
    </row>
    <row r="44" spans="1:17" x14ac:dyDescent="0.3">
      <c r="C44" s="59"/>
      <c r="D44" s="59"/>
      <c r="F44" s="99"/>
      <c r="G44" s="99"/>
      <c r="H44" s="99"/>
      <c r="I44" s="99"/>
      <c r="J44" s="99"/>
      <c r="K44" s="99"/>
      <c r="L44" s="99"/>
      <c r="M44" s="99"/>
      <c r="N44" s="99"/>
      <c r="O44" s="99"/>
      <c r="P44" s="99"/>
      <c r="Q44" s="149">
        <f t="shared" si="0"/>
        <v>0</v>
      </c>
    </row>
    <row r="45" spans="1:17" x14ac:dyDescent="0.3">
      <c r="C45" s="59"/>
      <c r="D45" s="59"/>
      <c r="F45" s="99"/>
      <c r="G45" s="99"/>
      <c r="H45" s="99"/>
      <c r="I45" s="99"/>
      <c r="J45" s="99"/>
      <c r="K45" s="99"/>
      <c r="L45" s="99"/>
      <c r="M45" s="99"/>
      <c r="N45" s="99"/>
      <c r="O45" s="99"/>
      <c r="P45" s="99"/>
      <c r="Q45" s="149">
        <f t="shared" si="0"/>
        <v>0</v>
      </c>
    </row>
    <row r="46" spans="1:17" x14ac:dyDescent="0.3">
      <c r="C46" s="59"/>
      <c r="D46" s="59"/>
      <c r="F46" s="99"/>
      <c r="G46" s="99"/>
      <c r="H46" s="99"/>
      <c r="I46" s="99"/>
      <c r="J46" s="99"/>
      <c r="K46" s="99"/>
      <c r="L46" s="99"/>
      <c r="M46" s="99"/>
      <c r="N46" s="99"/>
      <c r="O46" s="99"/>
      <c r="P46" s="99"/>
      <c r="Q46" s="149">
        <f t="shared" si="0"/>
        <v>0</v>
      </c>
    </row>
    <row r="47" spans="1:17" x14ac:dyDescent="0.3">
      <c r="C47" s="59"/>
      <c r="D47" s="59"/>
      <c r="F47" s="99"/>
      <c r="G47" s="99"/>
      <c r="H47" s="99"/>
      <c r="I47" s="99"/>
      <c r="J47" s="99"/>
      <c r="K47" s="99"/>
      <c r="L47" s="99"/>
      <c r="M47" s="99"/>
      <c r="N47" s="99"/>
      <c r="O47" s="99"/>
      <c r="P47" s="99"/>
      <c r="Q47" s="149">
        <f t="shared" si="0"/>
        <v>0</v>
      </c>
    </row>
    <row r="48" spans="1:17" x14ac:dyDescent="0.3">
      <c r="C48" s="59"/>
      <c r="D48" s="59"/>
      <c r="F48" s="99"/>
      <c r="G48" s="99"/>
      <c r="H48" s="99"/>
      <c r="I48" s="99"/>
      <c r="J48" s="99"/>
      <c r="K48" s="99"/>
      <c r="L48" s="99"/>
      <c r="M48" s="99"/>
      <c r="N48" s="99"/>
      <c r="O48" s="99"/>
      <c r="P48" s="99"/>
      <c r="Q48" s="149">
        <f t="shared" si="0"/>
        <v>0</v>
      </c>
    </row>
    <row r="49" spans="1:17" x14ac:dyDescent="0.3">
      <c r="C49" s="59"/>
      <c r="D49" s="59"/>
      <c r="F49" s="99"/>
      <c r="G49" s="99"/>
      <c r="H49" s="99"/>
      <c r="I49" s="99"/>
      <c r="J49" s="99"/>
      <c r="K49" s="99"/>
      <c r="L49" s="99"/>
      <c r="M49" s="99"/>
      <c r="N49" s="99"/>
      <c r="O49" s="99"/>
      <c r="P49" s="99"/>
      <c r="Q49" s="149">
        <f t="shared" si="0"/>
        <v>0</v>
      </c>
    </row>
    <row r="50" spans="1:17" x14ac:dyDescent="0.3">
      <c r="C50" s="59"/>
      <c r="D50" s="59"/>
      <c r="F50" s="99"/>
      <c r="G50" s="99"/>
      <c r="H50" s="99"/>
      <c r="I50" s="99"/>
      <c r="J50" s="99"/>
      <c r="K50" s="99"/>
      <c r="L50" s="99"/>
      <c r="M50" s="99"/>
      <c r="N50" s="99"/>
      <c r="O50" s="99"/>
      <c r="P50" s="99"/>
      <c r="Q50" s="149">
        <f t="shared" si="0"/>
        <v>0</v>
      </c>
    </row>
    <row r="51" spans="1:17" x14ac:dyDescent="0.3">
      <c r="C51" s="59"/>
      <c r="D51" s="59"/>
      <c r="F51" s="99"/>
      <c r="G51" s="99"/>
      <c r="H51" s="99"/>
      <c r="I51" s="99"/>
      <c r="J51" s="99"/>
      <c r="K51" s="99"/>
      <c r="L51" s="99"/>
      <c r="M51" s="99"/>
      <c r="N51" s="99"/>
      <c r="O51" s="99"/>
      <c r="P51" s="99"/>
      <c r="Q51" s="149">
        <f t="shared" si="0"/>
        <v>0</v>
      </c>
    </row>
    <row r="52" spans="1:17" x14ac:dyDescent="0.3">
      <c r="C52" s="59"/>
      <c r="D52" s="59"/>
      <c r="F52" s="99"/>
      <c r="G52" s="99"/>
      <c r="H52" s="99"/>
      <c r="I52" s="99"/>
      <c r="J52" s="99"/>
      <c r="K52" s="99"/>
      <c r="L52" s="99"/>
      <c r="M52" s="99"/>
      <c r="N52" s="99"/>
      <c r="O52" s="99"/>
      <c r="P52" s="99"/>
      <c r="Q52" s="149">
        <f t="shared" si="0"/>
        <v>0</v>
      </c>
    </row>
    <row r="53" spans="1:17" x14ac:dyDescent="0.3">
      <c r="C53" s="59"/>
      <c r="D53" s="59"/>
      <c r="F53" s="99"/>
      <c r="G53" s="99"/>
      <c r="H53" s="99"/>
      <c r="I53" s="99"/>
      <c r="J53" s="99"/>
      <c r="K53" s="99"/>
      <c r="L53" s="99"/>
      <c r="M53" s="99"/>
      <c r="N53" s="99"/>
      <c r="O53" s="99"/>
      <c r="P53" s="99"/>
      <c r="Q53" s="149">
        <f t="shared" si="0"/>
        <v>0</v>
      </c>
    </row>
    <row r="54" spans="1:17" x14ac:dyDescent="0.3">
      <c r="C54" s="59"/>
      <c r="D54" s="59"/>
      <c r="F54" s="99"/>
      <c r="G54" s="99"/>
      <c r="H54" s="99"/>
      <c r="I54" s="99"/>
      <c r="J54" s="99"/>
      <c r="K54" s="99"/>
      <c r="L54" s="99"/>
      <c r="M54" s="99"/>
      <c r="N54" s="99"/>
      <c r="O54" s="99"/>
      <c r="P54" s="99"/>
      <c r="Q54" s="149">
        <f t="shared" si="0"/>
        <v>0</v>
      </c>
    </row>
    <row r="55" spans="1:17" x14ac:dyDescent="0.3">
      <c r="A55" t="s">
        <v>753</v>
      </c>
      <c r="B55" t="s">
        <v>754</v>
      </c>
      <c r="D55" s="59"/>
      <c r="F55" s="99"/>
      <c r="G55" s="99"/>
      <c r="H55" s="99"/>
      <c r="I55" s="99"/>
      <c r="J55" s="99"/>
      <c r="K55" s="99"/>
      <c r="L55" s="99"/>
      <c r="M55" s="99"/>
      <c r="N55" s="99"/>
      <c r="O55" s="99"/>
      <c r="P55" s="99"/>
      <c r="Q55" s="149">
        <f t="shared" si="0"/>
        <v>0</v>
      </c>
    </row>
    <row r="56" spans="1:17" x14ac:dyDescent="0.3">
      <c r="A56">
        <v>30</v>
      </c>
      <c r="B56" t="s">
        <v>755</v>
      </c>
      <c r="D56" s="59"/>
      <c r="F56" s="99"/>
      <c r="G56" s="99"/>
      <c r="H56" s="99"/>
      <c r="I56" s="99"/>
      <c r="J56" s="99"/>
      <c r="K56" s="99"/>
      <c r="L56" s="99"/>
      <c r="M56" s="99"/>
      <c r="N56" s="99"/>
      <c r="O56" s="99"/>
      <c r="P56" s="99"/>
      <c r="Q56" s="149">
        <f t="shared" si="0"/>
        <v>0</v>
      </c>
    </row>
    <row r="58" spans="1:17" x14ac:dyDescent="0.3">
      <c r="A58">
        <v>31</v>
      </c>
      <c r="B58" s="91" t="s">
        <v>756</v>
      </c>
      <c r="D58" s="150">
        <f>SUM(D7:D56)</f>
        <v>0</v>
      </c>
      <c r="E58" s="116"/>
      <c r="F58" s="149">
        <f t="shared" ref="F58:Q58" si="1">SUM(F7:F56)</f>
        <v>0</v>
      </c>
      <c r="G58" s="149">
        <f t="shared" si="1"/>
        <v>0</v>
      </c>
      <c r="H58" s="149">
        <f t="shared" si="1"/>
        <v>0</v>
      </c>
      <c r="I58" s="149">
        <f t="shared" si="1"/>
        <v>0</v>
      </c>
      <c r="J58" s="149">
        <f t="shared" si="1"/>
        <v>0</v>
      </c>
      <c r="K58" s="149">
        <f t="shared" si="1"/>
        <v>0</v>
      </c>
      <c r="L58" s="149">
        <f t="shared" si="1"/>
        <v>0</v>
      </c>
      <c r="M58" s="149">
        <f t="shared" si="1"/>
        <v>0</v>
      </c>
      <c r="N58" s="149">
        <f t="shared" si="1"/>
        <v>0</v>
      </c>
      <c r="O58" s="149">
        <f t="shared" si="1"/>
        <v>0</v>
      </c>
      <c r="P58" s="149">
        <f t="shared" si="1"/>
        <v>0</v>
      </c>
      <c r="Q58" s="150">
        <f t="shared" si="1"/>
        <v>0</v>
      </c>
    </row>
    <row r="62" spans="1:17" x14ac:dyDescent="0.3">
      <c r="A62" s="34" t="s">
        <v>757</v>
      </c>
      <c r="B62" s="91" t="s">
        <v>758</v>
      </c>
      <c r="C62" s="91" t="s">
        <v>759</v>
      </c>
    </row>
    <row r="63" spans="1:17" x14ac:dyDescent="0.3">
      <c r="A63" s="4">
        <v>1</v>
      </c>
    </row>
    <row r="64" spans="1:17" x14ac:dyDescent="0.3">
      <c r="A64" s="4">
        <v>2</v>
      </c>
    </row>
    <row r="65" spans="1:1" x14ac:dyDescent="0.3">
      <c r="A65" s="4">
        <v>3</v>
      </c>
    </row>
    <row r="66" spans="1:1" x14ac:dyDescent="0.3">
      <c r="A66" s="4">
        <v>4</v>
      </c>
    </row>
    <row r="67" spans="1:1" x14ac:dyDescent="0.3">
      <c r="A67" s="4">
        <v>5</v>
      </c>
    </row>
    <row r="68" spans="1:1" x14ac:dyDescent="0.3">
      <c r="A68" s="4">
        <v>6</v>
      </c>
    </row>
    <row r="69" spans="1:1" x14ac:dyDescent="0.3">
      <c r="A69" s="4">
        <v>7</v>
      </c>
    </row>
    <row r="70" spans="1:1" x14ac:dyDescent="0.3">
      <c r="A70" s="4">
        <v>8</v>
      </c>
    </row>
    <row r="71" spans="1:1" x14ac:dyDescent="0.3">
      <c r="A71" s="4">
        <v>9</v>
      </c>
    </row>
    <row r="72" spans="1:1" x14ac:dyDescent="0.3">
      <c r="A72" s="4">
        <v>10</v>
      </c>
    </row>
  </sheetData>
  <mergeCells count="2">
    <mergeCell ref="C1:D1"/>
    <mergeCell ref="C2:D2"/>
  </mergeCell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Lists!$A$1:$A$2</xm:f>
          </x14:formula1>
          <xm:sqref>A4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Q72"/>
  <sheetViews>
    <sheetView workbookViewId="0"/>
  </sheetViews>
  <sheetFormatPr defaultColWidth="8.88671875" defaultRowHeight="14.4" x14ac:dyDescent="0.3"/>
  <cols>
    <col min="1" max="1" width="6.6640625" customWidth="1"/>
    <col min="2" max="2" width="7.6640625" customWidth="1"/>
    <col min="3" max="3" width="41.44140625" customWidth="1"/>
    <col min="4" max="4" width="10.5546875" bestFit="1" customWidth="1"/>
    <col min="5" max="5" width="2.33203125" customWidth="1"/>
    <col min="6" max="6" width="10.109375" bestFit="1" customWidth="1"/>
  </cols>
  <sheetData>
    <row r="1" spans="1:17" ht="15" thickBot="1" x14ac:dyDescent="0.35">
      <c r="C1" s="233" t="s">
        <v>56</v>
      </c>
      <c r="D1" s="234"/>
    </row>
    <row r="2" spans="1:17" ht="15" thickBot="1" x14ac:dyDescent="0.35">
      <c r="C2" s="236" t="s">
        <v>57</v>
      </c>
      <c r="D2" s="237"/>
    </row>
    <row r="4" spans="1:17" x14ac:dyDescent="0.3">
      <c r="A4" s="57"/>
      <c r="B4" s="91" t="s">
        <v>543</v>
      </c>
    </row>
    <row r="5" spans="1:17" x14ac:dyDescent="0.3">
      <c r="A5" s="151" t="s">
        <v>79</v>
      </c>
      <c r="C5" s="59"/>
    </row>
    <row r="6" spans="1:17" s="91" customFormat="1" x14ac:dyDescent="0.3">
      <c r="A6" s="91" t="s">
        <v>701</v>
      </c>
      <c r="B6" s="91" t="s">
        <v>62</v>
      </c>
      <c r="D6" s="91" t="s">
        <v>702</v>
      </c>
      <c r="F6" s="34" t="s">
        <v>703</v>
      </c>
      <c r="G6" s="34" t="s">
        <v>704</v>
      </c>
      <c r="H6" s="34" t="s">
        <v>705</v>
      </c>
      <c r="I6" s="34" t="s">
        <v>706</v>
      </c>
      <c r="J6" s="34" t="s">
        <v>707</v>
      </c>
      <c r="K6" s="34" t="s">
        <v>708</v>
      </c>
      <c r="L6" s="34" t="s">
        <v>709</v>
      </c>
      <c r="M6" s="34" t="s">
        <v>710</v>
      </c>
      <c r="N6" s="34" t="s">
        <v>711</v>
      </c>
      <c r="O6" s="34" t="s">
        <v>712</v>
      </c>
      <c r="P6" s="34" t="s">
        <v>713</v>
      </c>
      <c r="Q6" s="34" t="s">
        <v>714</v>
      </c>
    </row>
    <row r="7" spans="1:17" x14ac:dyDescent="0.3">
      <c r="A7" s="3">
        <v>1</v>
      </c>
      <c r="B7" t="s">
        <v>715</v>
      </c>
      <c r="D7" s="59"/>
      <c r="F7" s="59"/>
      <c r="G7" s="59"/>
      <c r="H7" s="59"/>
      <c r="I7" s="59"/>
      <c r="J7" s="59"/>
      <c r="K7" s="59"/>
      <c r="L7" s="59"/>
      <c r="M7" s="59"/>
      <c r="N7" s="59"/>
      <c r="O7" s="59"/>
      <c r="P7" s="59"/>
      <c r="Q7" s="149">
        <f>SUM(F7:P7)</f>
        <v>0</v>
      </c>
    </row>
    <row r="8" spans="1:17" x14ac:dyDescent="0.3">
      <c r="A8" s="3">
        <v>2</v>
      </c>
      <c r="B8" t="s">
        <v>716</v>
      </c>
      <c r="D8" s="59"/>
      <c r="F8" s="59"/>
      <c r="G8" s="59"/>
      <c r="H8" s="59"/>
      <c r="I8" s="59"/>
      <c r="J8" s="59"/>
      <c r="K8" s="59"/>
      <c r="L8" s="59"/>
      <c r="M8" s="59"/>
      <c r="N8" s="59"/>
      <c r="O8" s="59"/>
      <c r="P8" s="59"/>
      <c r="Q8" s="149">
        <f t="shared" ref="Q8:Q56" si="0">SUM(F8:P8)</f>
        <v>0</v>
      </c>
    </row>
    <row r="9" spans="1:17" x14ac:dyDescent="0.3">
      <c r="A9" s="3">
        <v>4</v>
      </c>
      <c r="B9" t="s">
        <v>717</v>
      </c>
      <c r="D9" s="59"/>
      <c r="F9" s="59"/>
      <c r="G9" s="59"/>
      <c r="H9" s="59"/>
      <c r="I9" s="59"/>
      <c r="J9" s="59"/>
      <c r="K9" s="59"/>
      <c r="L9" s="59"/>
      <c r="M9" s="59"/>
      <c r="N9" s="59"/>
      <c r="O9" s="59"/>
      <c r="P9" s="59"/>
      <c r="Q9" s="149">
        <f t="shared" si="0"/>
        <v>0</v>
      </c>
    </row>
    <row r="10" spans="1:17" x14ac:dyDescent="0.3">
      <c r="A10" s="3"/>
      <c r="C10" t="s">
        <v>718</v>
      </c>
      <c r="D10" s="59"/>
      <c r="F10" s="59"/>
      <c r="G10" s="59"/>
      <c r="H10" s="59"/>
      <c r="I10" s="59"/>
      <c r="J10" s="59"/>
      <c r="K10" s="59"/>
      <c r="L10" s="59"/>
      <c r="M10" s="59"/>
      <c r="N10" s="59"/>
      <c r="O10" s="59"/>
      <c r="P10" s="59"/>
      <c r="Q10" s="149">
        <f t="shared" si="0"/>
        <v>0</v>
      </c>
    </row>
    <row r="11" spans="1:17" x14ac:dyDescent="0.3">
      <c r="A11" s="3"/>
      <c r="C11" t="s">
        <v>719</v>
      </c>
      <c r="D11" s="59"/>
      <c r="F11" s="59"/>
      <c r="G11" s="59"/>
      <c r="H11" s="59"/>
      <c r="I11" s="59"/>
      <c r="J11" s="59"/>
      <c r="K11" s="59"/>
      <c r="L11" s="59"/>
      <c r="M11" s="59"/>
      <c r="N11" s="59"/>
      <c r="O11" s="59"/>
      <c r="P11" s="59"/>
      <c r="Q11" s="149">
        <f t="shared" si="0"/>
        <v>0</v>
      </c>
    </row>
    <row r="12" spans="1:17" x14ac:dyDescent="0.3">
      <c r="A12" s="3"/>
      <c r="C12" t="s">
        <v>720</v>
      </c>
      <c r="D12" s="59"/>
      <c r="F12" s="59"/>
      <c r="G12" s="59"/>
      <c r="H12" s="59"/>
      <c r="I12" s="59"/>
      <c r="J12" s="59"/>
      <c r="K12" s="59"/>
      <c r="L12" s="59"/>
      <c r="M12" s="59"/>
      <c r="N12" s="59"/>
      <c r="O12" s="59"/>
      <c r="P12" s="59"/>
      <c r="Q12" s="149">
        <f t="shared" si="0"/>
        <v>0</v>
      </c>
    </row>
    <row r="13" spans="1:17" x14ac:dyDescent="0.3">
      <c r="A13" s="3"/>
      <c r="C13" t="s">
        <v>721</v>
      </c>
      <c r="D13" s="59"/>
      <c r="F13" s="59"/>
      <c r="G13" s="59"/>
      <c r="H13" s="59"/>
      <c r="I13" s="59"/>
      <c r="J13" s="59"/>
      <c r="K13" s="59"/>
      <c r="L13" s="59"/>
      <c r="M13" s="59"/>
      <c r="N13" s="59"/>
      <c r="O13" s="59"/>
      <c r="P13" s="59"/>
      <c r="Q13" s="149">
        <f t="shared" si="0"/>
        <v>0</v>
      </c>
    </row>
    <row r="14" spans="1:17" x14ac:dyDescent="0.3">
      <c r="A14" s="3"/>
      <c r="C14" t="s">
        <v>722</v>
      </c>
      <c r="D14" s="59"/>
      <c r="F14" s="59"/>
      <c r="G14" s="59"/>
      <c r="H14" s="59"/>
      <c r="I14" s="59"/>
      <c r="J14" s="59"/>
      <c r="K14" s="59"/>
      <c r="L14" s="59"/>
      <c r="M14" s="59"/>
      <c r="N14" s="59"/>
      <c r="O14" s="59"/>
      <c r="P14" s="59"/>
      <c r="Q14" s="149">
        <f t="shared" si="0"/>
        <v>0</v>
      </c>
    </row>
    <row r="15" spans="1:17" x14ac:dyDescent="0.3">
      <c r="A15" s="3"/>
      <c r="C15" t="s">
        <v>723</v>
      </c>
      <c r="D15" s="59"/>
      <c r="F15" s="59"/>
      <c r="G15" s="59"/>
      <c r="H15" s="59"/>
      <c r="I15" s="59"/>
      <c r="J15" s="59"/>
      <c r="K15" s="59"/>
      <c r="L15" s="59"/>
      <c r="M15" s="59"/>
      <c r="N15" s="59"/>
      <c r="O15" s="59"/>
      <c r="P15" s="59"/>
      <c r="Q15" s="149">
        <f t="shared" si="0"/>
        <v>0</v>
      </c>
    </row>
    <row r="16" spans="1:17" x14ac:dyDescent="0.3">
      <c r="A16" s="3">
        <v>6</v>
      </c>
      <c r="B16" t="s">
        <v>724</v>
      </c>
      <c r="D16" s="59"/>
      <c r="F16" s="59"/>
      <c r="G16" s="59"/>
      <c r="H16" s="59"/>
      <c r="I16" s="59"/>
      <c r="J16" s="59"/>
      <c r="K16" s="59"/>
      <c r="L16" s="59"/>
      <c r="M16" s="59"/>
      <c r="N16" s="59"/>
      <c r="O16" s="59"/>
      <c r="P16" s="59"/>
      <c r="Q16" s="149">
        <f t="shared" si="0"/>
        <v>0</v>
      </c>
    </row>
    <row r="17" spans="1:17" x14ac:dyDescent="0.3">
      <c r="A17" s="3">
        <v>8</v>
      </c>
      <c r="B17" t="s">
        <v>725</v>
      </c>
      <c r="D17" s="59"/>
      <c r="F17" s="59"/>
      <c r="G17" s="59"/>
      <c r="H17" s="59"/>
      <c r="I17" s="59"/>
      <c r="J17" s="59"/>
      <c r="K17" s="59"/>
      <c r="L17" s="59"/>
      <c r="M17" s="59"/>
      <c r="N17" s="59"/>
      <c r="O17" s="59"/>
      <c r="P17" s="59"/>
      <c r="Q17" s="149">
        <f t="shared" si="0"/>
        <v>0</v>
      </c>
    </row>
    <row r="18" spans="1:17" x14ac:dyDescent="0.3">
      <c r="A18" s="3">
        <v>9</v>
      </c>
      <c r="B18" t="s">
        <v>726</v>
      </c>
      <c r="D18" s="59"/>
      <c r="F18" s="59"/>
      <c r="G18" s="59"/>
      <c r="H18" s="59"/>
      <c r="I18" s="59"/>
      <c r="J18" s="59"/>
      <c r="K18" s="59"/>
      <c r="L18" s="59"/>
      <c r="M18" s="59"/>
      <c r="N18" s="59"/>
      <c r="O18" s="59"/>
      <c r="P18" s="59"/>
      <c r="Q18" s="149">
        <f t="shared" si="0"/>
        <v>0</v>
      </c>
    </row>
    <row r="19" spans="1:17" x14ac:dyDescent="0.3">
      <c r="A19" s="3">
        <v>10</v>
      </c>
      <c r="B19" t="s">
        <v>727</v>
      </c>
      <c r="D19" s="59"/>
      <c r="F19" s="59"/>
      <c r="G19" s="59"/>
      <c r="H19" s="59"/>
      <c r="I19" s="59"/>
      <c r="J19" s="59"/>
      <c r="K19" s="59"/>
      <c r="L19" s="59"/>
      <c r="M19" s="59"/>
      <c r="N19" s="59"/>
      <c r="O19" s="59"/>
      <c r="P19" s="59"/>
      <c r="Q19" s="149">
        <f t="shared" si="0"/>
        <v>0</v>
      </c>
    </row>
    <row r="20" spans="1:17" x14ac:dyDescent="0.3">
      <c r="A20" s="3">
        <v>11</v>
      </c>
      <c r="B20" t="s">
        <v>728</v>
      </c>
      <c r="D20" s="59"/>
      <c r="F20" s="59"/>
      <c r="G20" s="59"/>
      <c r="H20" s="59"/>
      <c r="I20" s="59"/>
      <c r="J20" s="59"/>
      <c r="K20" s="59"/>
      <c r="L20" s="59"/>
      <c r="M20" s="59"/>
      <c r="N20" s="59"/>
      <c r="O20" s="59"/>
      <c r="P20" s="59"/>
      <c r="Q20" s="149">
        <f t="shared" si="0"/>
        <v>0</v>
      </c>
    </row>
    <row r="21" spans="1:17" x14ac:dyDescent="0.3">
      <c r="A21" s="3">
        <v>12</v>
      </c>
      <c r="B21" t="s">
        <v>729</v>
      </c>
      <c r="D21" s="59"/>
      <c r="F21" s="59"/>
      <c r="G21" s="59"/>
      <c r="H21" s="59"/>
      <c r="I21" s="59"/>
      <c r="J21" s="59"/>
      <c r="K21" s="59"/>
      <c r="L21" s="59"/>
      <c r="M21" s="59"/>
      <c r="N21" s="59"/>
      <c r="O21" s="59"/>
      <c r="P21" s="59"/>
      <c r="Q21" s="149">
        <f t="shared" si="0"/>
        <v>0</v>
      </c>
    </row>
    <row r="22" spans="1:17" x14ac:dyDescent="0.3">
      <c r="A22" s="3">
        <v>13</v>
      </c>
      <c r="B22" t="s">
        <v>730</v>
      </c>
      <c r="D22" s="59"/>
      <c r="F22" s="59"/>
      <c r="G22" s="59"/>
      <c r="H22" s="59"/>
      <c r="I22" s="59"/>
      <c r="J22" s="59"/>
      <c r="K22" s="59"/>
      <c r="L22" s="59"/>
      <c r="M22" s="59"/>
      <c r="N22" s="59"/>
      <c r="O22" s="59"/>
      <c r="P22" s="59"/>
      <c r="Q22" s="149">
        <f t="shared" si="0"/>
        <v>0</v>
      </c>
    </row>
    <row r="23" spans="1:17" x14ac:dyDescent="0.3">
      <c r="A23" s="3">
        <v>14</v>
      </c>
      <c r="B23" t="s">
        <v>731</v>
      </c>
      <c r="D23" s="59"/>
      <c r="F23" s="59"/>
      <c r="G23" s="59"/>
      <c r="H23" s="59"/>
      <c r="I23" s="59"/>
      <c r="J23" s="59"/>
      <c r="K23" s="59"/>
      <c r="L23" s="59"/>
      <c r="M23" s="59"/>
      <c r="N23" s="59"/>
      <c r="O23" s="59"/>
      <c r="P23" s="59"/>
      <c r="Q23" s="149">
        <f t="shared" si="0"/>
        <v>0</v>
      </c>
    </row>
    <row r="24" spans="1:17" x14ac:dyDescent="0.3">
      <c r="A24" s="3">
        <v>15</v>
      </c>
      <c r="B24" t="s">
        <v>732</v>
      </c>
      <c r="D24" s="59"/>
      <c r="F24" s="59"/>
      <c r="G24" s="59"/>
      <c r="H24" s="59"/>
      <c r="I24" s="59"/>
      <c r="J24" s="59"/>
      <c r="K24" s="59"/>
      <c r="L24" s="59"/>
      <c r="M24" s="59"/>
      <c r="N24" s="59"/>
      <c r="O24" s="59"/>
      <c r="P24" s="59"/>
      <c r="Q24" s="149">
        <f t="shared" si="0"/>
        <v>0</v>
      </c>
    </row>
    <row r="25" spans="1:17" x14ac:dyDescent="0.3">
      <c r="A25" s="3" t="s">
        <v>406</v>
      </c>
      <c r="B25" t="s">
        <v>733</v>
      </c>
      <c r="D25" s="59"/>
      <c r="F25" s="59"/>
      <c r="G25" s="59"/>
      <c r="H25" s="59"/>
      <c r="I25" s="59"/>
      <c r="J25" s="59"/>
      <c r="K25" s="59"/>
      <c r="L25" s="59"/>
      <c r="M25" s="59"/>
      <c r="N25" s="59"/>
      <c r="O25" s="59"/>
      <c r="P25" s="59"/>
      <c r="Q25" s="149">
        <f t="shared" si="0"/>
        <v>0</v>
      </c>
    </row>
    <row r="26" spans="1:17" x14ac:dyDescent="0.3">
      <c r="A26" s="3" t="s">
        <v>407</v>
      </c>
      <c r="B26" t="s">
        <v>734</v>
      </c>
      <c r="D26" s="59"/>
      <c r="F26" s="59"/>
      <c r="G26" s="59"/>
      <c r="H26" s="59"/>
      <c r="I26" s="59"/>
      <c r="J26" s="59"/>
      <c r="K26" s="59"/>
      <c r="L26" s="59"/>
      <c r="M26" s="59"/>
      <c r="N26" s="59"/>
      <c r="O26" s="59"/>
      <c r="P26" s="59"/>
      <c r="Q26" s="149">
        <f t="shared" si="0"/>
        <v>0</v>
      </c>
    </row>
    <row r="27" spans="1:17" x14ac:dyDescent="0.3">
      <c r="A27" s="3">
        <v>17</v>
      </c>
      <c r="B27" t="s">
        <v>735</v>
      </c>
      <c r="D27" s="59"/>
      <c r="F27" s="59"/>
      <c r="G27" s="59"/>
      <c r="H27" s="59"/>
      <c r="I27" s="59"/>
      <c r="J27" s="59"/>
      <c r="K27" s="59"/>
      <c r="L27" s="59"/>
      <c r="M27" s="59"/>
      <c r="N27" s="59"/>
      <c r="O27" s="59"/>
      <c r="P27" s="59"/>
      <c r="Q27" s="149">
        <f t="shared" si="0"/>
        <v>0</v>
      </c>
    </row>
    <row r="28" spans="1:17" x14ac:dyDescent="0.3">
      <c r="A28" s="3">
        <v>18</v>
      </c>
      <c r="B28" t="s">
        <v>736</v>
      </c>
      <c r="D28" s="59"/>
      <c r="F28" s="59"/>
      <c r="G28" s="59"/>
      <c r="H28" s="59"/>
      <c r="I28" s="59"/>
      <c r="J28" s="59"/>
      <c r="K28" s="59"/>
      <c r="L28" s="59"/>
      <c r="M28" s="59"/>
      <c r="N28" s="59"/>
      <c r="O28" s="59"/>
      <c r="P28" s="59"/>
      <c r="Q28" s="149">
        <f t="shared" si="0"/>
        <v>0</v>
      </c>
    </row>
    <row r="29" spans="1:17" x14ac:dyDescent="0.3">
      <c r="A29" s="3">
        <v>19</v>
      </c>
      <c r="B29" t="s">
        <v>737</v>
      </c>
      <c r="D29" s="59"/>
      <c r="F29" s="59"/>
      <c r="G29" s="59"/>
      <c r="H29" s="59"/>
      <c r="I29" s="59"/>
      <c r="J29" s="59"/>
      <c r="K29" s="59"/>
      <c r="L29" s="59"/>
      <c r="M29" s="59"/>
      <c r="N29" s="59"/>
      <c r="O29" s="59"/>
      <c r="P29" s="59"/>
      <c r="Q29" s="149">
        <f t="shared" si="0"/>
        <v>0</v>
      </c>
    </row>
    <row r="30" spans="1:17" x14ac:dyDescent="0.3">
      <c r="A30" s="3" t="s">
        <v>738</v>
      </c>
      <c r="B30" t="s">
        <v>739</v>
      </c>
      <c r="D30" s="59"/>
      <c r="F30" s="59"/>
      <c r="G30" s="59"/>
      <c r="H30" s="59"/>
      <c r="I30" s="59"/>
      <c r="J30" s="59"/>
      <c r="K30" s="59"/>
      <c r="L30" s="59"/>
      <c r="M30" s="59"/>
      <c r="N30" s="59"/>
      <c r="O30" s="59"/>
      <c r="P30" s="59"/>
      <c r="Q30" s="149">
        <f t="shared" si="0"/>
        <v>0</v>
      </c>
    </row>
    <row r="31" spans="1:17" x14ac:dyDescent="0.3">
      <c r="A31" s="3" t="s">
        <v>740</v>
      </c>
      <c r="B31" t="s">
        <v>741</v>
      </c>
      <c r="D31" s="59"/>
      <c r="F31" s="59"/>
      <c r="G31" s="59"/>
      <c r="H31" s="59"/>
      <c r="I31" s="59"/>
      <c r="J31" s="59"/>
      <c r="K31" s="59"/>
      <c r="L31" s="59"/>
      <c r="M31" s="59"/>
      <c r="N31" s="59"/>
      <c r="O31" s="59"/>
      <c r="P31" s="59"/>
      <c r="Q31" s="149">
        <f t="shared" si="0"/>
        <v>0</v>
      </c>
    </row>
    <row r="32" spans="1:17" x14ac:dyDescent="0.3">
      <c r="A32" s="3">
        <v>21</v>
      </c>
      <c r="B32" t="s">
        <v>742</v>
      </c>
      <c r="D32" s="59"/>
      <c r="F32" s="59"/>
      <c r="G32" s="59"/>
      <c r="H32" s="59"/>
      <c r="I32" s="59"/>
      <c r="J32" s="59"/>
      <c r="K32" s="59"/>
      <c r="L32" s="59"/>
      <c r="M32" s="59"/>
      <c r="N32" s="59"/>
      <c r="O32" s="59"/>
      <c r="P32" s="59"/>
      <c r="Q32" s="149">
        <f t="shared" si="0"/>
        <v>0</v>
      </c>
    </row>
    <row r="33" spans="1:17" x14ac:dyDescent="0.3">
      <c r="A33" s="3">
        <v>22</v>
      </c>
      <c r="B33" t="s">
        <v>743</v>
      </c>
      <c r="D33" s="59"/>
      <c r="F33" s="59"/>
      <c r="G33" s="59"/>
      <c r="H33" s="59"/>
      <c r="I33" s="59"/>
      <c r="J33" s="59"/>
      <c r="K33" s="59"/>
      <c r="L33" s="59"/>
      <c r="M33" s="59"/>
      <c r="N33" s="59"/>
      <c r="O33" s="59"/>
      <c r="P33" s="59"/>
      <c r="Q33" s="149">
        <f t="shared" si="0"/>
        <v>0</v>
      </c>
    </row>
    <row r="34" spans="1:17" x14ac:dyDescent="0.3">
      <c r="A34" s="3">
        <v>23</v>
      </c>
      <c r="B34" t="s">
        <v>744</v>
      </c>
      <c r="D34" s="59"/>
      <c r="F34" s="59"/>
      <c r="G34" s="59"/>
      <c r="H34" s="59"/>
      <c r="I34" s="59"/>
      <c r="J34" s="59"/>
      <c r="K34" s="59"/>
      <c r="L34" s="59"/>
      <c r="M34" s="59"/>
      <c r="N34" s="59"/>
      <c r="O34" s="59"/>
      <c r="P34" s="59"/>
      <c r="Q34" s="149">
        <f t="shared" si="0"/>
        <v>0</v>
      </c>
    </row>
    <row r="35" spans="1:17" x14ac:dyDescent="0.3">
      <c r="A35" s="3" t="s">
        <v>745</v>
      </c>
      <c r="B35" t="s">
        <v>746</v>
      </c>
      <c r="D35" s="59"/>
      <c r="F35" s="59"/>
      <c r="G35" s="59"/>
      <c r="H35" s="59"/>
      <c r="I35" s="59"/>
      <c r="J35" s="59"/>
      <c r="K35" s="59"/>
      <c r="L35" s="59"/>
      <c r="M35" s="59"/>
      <c r="N35" s="59"/>
      <c r="O35" s="59"/>
      <c r="P35" s="59"/>
      <c r="Q35" s="149">
        <f t="shared" si="0"/>
        <v>0</v>
      </c>
    </row>
    <row r="36" spans="1:17" x14ac:dyDescent="0.3">
      <c r="A36" s="3" t="s">
        <v>747</v>
      </c>
      <c r="B36" t="s">
        <v>748</v>
      </c>
      <c r="D36" s="59"/>
      <c r="F36" s="59"/>
      <c r="G36" s="59"/>
      <c r="H36" s="59"/>
      <c r="I36" s="59"/>
      <c r="J36" s="59"/>
      <c r="K36" s="59"/>
      <c r="L36" s="59"/>
      <c r="M36" s="59"/>
      <c r="N36" s="59"/>
      <c r="O36" s="59"/>
      <c r="P36" s="59"/>
      <c r="Q36" s="149">
        <f t="shared" si="0"/>
        <v>0</v>
      </c>
    </row>
    <row r="37" spans="1:17" x14ac:dyDescent="0.3">
      <c r="A37" s="3">
        <v>25</v>
      </c>
      <c r="B37" t="s">
        <v>749</v>
      </c>
      <c r="D37" s="59"/>
      <c r="F37" s="59"/>
      <c r="G37" s="59"/>
      <c r="H37" s="59"/>
      <c r="I37" s="59"/>
      <c r="J37" s="59"/>
      <c r="K37" s="59"/>
      <c r="L37" s="59"/>
      <c r="M37" s="59"/>
      <c r="N37" s="59"/>
      <c r="O37" s="59"/>
      <c r="P37" s="59"/>
      <c r="Q37" s="149">
        <f t="shared" si="0"/>
        <v>0</v>
      </c>
    </row>
    <row r="38" spans="1:17" x14ac:dyDescent="0.3">
      <c r="A38" s="3">
        <v>26</v>
      </c>
      <c r="B38" t="s">
        <v>750</v>
      </c>
      <c r="D38" s="59"/>
      <c r="F38" s="59"/>
      <c r="G38" s="59"/>
      <c r="H38" s="59"/>
      <c r="I38" s="59"/>
      <c r="J38" s="59"/>
      <c r="K38" s="59"/>
      <c r="L38" s="59"/>
      <c r="M38" s="59"/>
      <c r="N38" s="59"/>
      <c r="O38" s="59"/>
      <c r="P38" s="59"/>
      <c r="Q38" s="149">
        <f t="shared" si="0"/>
        <v>0</v>
      </c>
    </row>
    <row r="39" spans="1:17" x14ac:dyDescent="0.3">
      <c r="A39" s="3" t="s">
        <v>751</v>
      </c>
      <c r="B39" t="s">
        <v>752</v>
      </c>
      <c r="D39" s="59"/>
      <c r="F39" s="59"/>
      <c r="G39" s="59"/>
      <c r="H39" s="59"/>
      <c r="I39" s="59"/>
      <c r="J39" s="59"/>
      <c r="K39" s="59"/>
      <c r="L39" s="59"/>
      <c r="M39" s="59"/>
      <c r="N39" s="59"/>
      <c r="O39" s="59"/>
      <c r="P39" s="59"/>
      <c r="Q39" s="149">
        <f t="shared" si="0"/>
        <v>0</v>
      </c>
    </row>
    <row r="40" spans="1:17" x14ac:dyDescent="0.3">
      <c r="A40" s="3"/>
      <c r="C40" s="59"/>
      <c r="D40" s="59"/>
      <c r="F40" s="59"/>
      <c r="G40" s="59"/>
      <c r="H40" s="59"/>
      <c r="I40" s="59"/>
      <c r="J40" s="59"/>
      <c r="K40" s="59"/>
      <c r="L40" s="59"/>
      <c r="M40" s="59"/>
      <c r="N40" s="59"/>
      <c r="O40" s="59"/>
      <c r="P40" s="59"/>
      <c r="Q40" s="149">
        <f t="shared" si="0"/>
        <v>0</v>
      </c>
    </row>
    <row r="41" spans="1:17" x14ac:dyDescent="0.3">
      <c r="C41" s="59"/>
      <c r="D41" s="59"/>
      <c r="F41" s="59"/>
      <c r="G41" s="59"/>
      <c r="H41" s="59"/>
      <c r="I41" s="59"/>
      <c r="J41" s="59"/>
      <c r="K41" s="59"/>
      <c r="L41" s="59"/>
      <c r="M41" s="59"/>
      <c r="N41" s="59"/>
      <c r="O41" s="59"/>
      <c r="P41" s="59"/>
      <c r="Q41" s="149">
        <f t="shared" si="0"/>
        <v>0</v>
      </c>
    </row>
    <row r="42" spans="1:17" x14ac:dyDescent="0.3">
      <c r="C42" s="59"/>
      <c r="D42" s="59"/>
      <c r="F42" s="59"/>
      <c r="G42" s="59"/>
      <c r="H42" s="59"/>
      <c r="I42" s="59"/>
      <c r="J42" s="59"/>
      <c r="K42" s="59"/>
      <c r="L42" s="59"/>
      <c r="M42" s="59"/>
      <c r="N42" s="59"/>
      <c r="O42" s="59"/>
      <c r="P42" s="59"/>
      <c r="Q42" s="149">
        <f t="shared" si="0"/>
        <v>0</v>
      </c>
    </row>
    <row r="43" spans="1:17" x14ac:dyDescent="0.3">
      <c r="C43" s="59"/>
      <c r="D43" s="59"/>
      <c r="F43" s="59"/>
      <c r="G43" s="59"/>
      <c r="H43" s="59"/>
      <c r="I43" s="59"/>
      <c r="J43" s="59"/>
      <c r="K43" s="59"/>
      <c r="L43" s="59"/>
      <c r="M43" s="59"/>
      <c r="N43" s="59"/>
      <c r="O43" s="59"/>
      <c r="P43" s="59"/>
      <c r="Q43" s="149">
        <f t="shared" si="0"/>
        <v>0</v>
      </c>
    </row>
    <row r="44" spans="1:17" x14ac:dyDescent="0.3">
      <c r="C44" s="59"/>
      <c r="D44" s="59"/>
      <c r="F44" s="59"/>
      <c r="G44" s="59"/>
      <c r="H44" s="59"/>
      <c r="I44" s="59"/>
      <c r="J44" s="59"/>
      <c r="K44" s="59"/>
      <c r="L44" s="59"/>
      <c r="M44" s="59"/>
      <c r="N44" s="59"/>
      <c r="O44" s="59"/>
      <c r="P44" s="59"/>
      <c r="Q44" s="149">
        <f t="shared" si="0"/>
        <v>0</v>
      </c>
    </row>
    <row r="45" spans="1:17" x14ac:dyDescent="0.3">
      <c r="C45" s="59"/>
      <c r="D45" s="59"/>
      <c r="F45" s="59"/>
      <c r="G45" s="59"/>
      <c r="H45" s="59"/>
      <c r="I45" s="59"/>
      <c r="J45" s="59"/>
      <c r="K45" s="59"/>
      <c r="L45" s="59"/>
      <c r="M45" s="59"/>
      <c r="N45" s="59"/>
      <c r="O45" s="59"/>
      <c r="P45" s="59"/>
      <c r="Q45" s="149">
        <f t="shared" si="0"/>
        <v>0</v>
      </c>
    </row>
    <row r="46" spans="1:17" x14ac:dyDescent="0.3">
      <c r="C46" s="59"/>
      <c r="D46" s="59"/>
      <c r="F46" s="59"/>
      <c r="G46" s="59"/>
      <c r="H46" s="59"/>
      <c r="I46" s="59"/>
      <c r="J46" s="59"/>
      <c r="K46" s="59"/>
      <c r="L46" s="59"/>
      <c r="M46" s="59"/>
      <c r="N46" s="59"/>
      <c r="O46" s="59"/>
      <c r="P46" s="59"/>
      <c r="Q46" s="149">
        <f t="shared" si="0"/>
        <v>0</v>
      </c>
    </row>
    <row r="47" spans="1:17" x14ac:dyDescent="0.3">
      <c r="C47" s="59"/>
      <c r="D47" s="59"/>
      <c r="F47" s="59"/>
      <c r="G47" s="59"/>
      <c r="H47" s="59"/>
      <c r="I47" s="59"/>
      <c r="J47" s="59"/>
      <c r="K47" s="59"/>
      <c r="L47" s="59"/>
      <c r="M47" s="59"/>
      <c r="N47" s="59"/>
      <c r="O47" s="59"/>
      <c r="P47" s="59"/>
      <c r="Q47" s="149">
        <f t="shared" si="0"/>
        <v>0</v>
      </c>
    </row>
    <row r="48" spans="1:17" x14ac:dyDescent="0.3">
      <c r="C48" s="59"/>
      <c r="D48" s="59"/>
      <c r="F48" s="59"/>
      <c r="G48" s="59"/>
      <c r="H48" s="59"/>
      <c r="I48" s="59"/>
      <c r="J48" s="59"/>
      <c r="K48" s="59"/>
      <c r="L48" s="59"/>
      <c r="M48" s="59"/>
      <c r="N48" s="59"/>
      <c r="O48" s="59"/>
      <c r="P48" s="59"/>
      <c r="Q48" s="149">
        <f t="shared" si="0"/>
        <v>0</v>
      </c>
    </row>
    <row r="49" spans="1:17" x14ac:dyDescent="0.3">
      <c r="C49" s="59"/>
      <c r="D49" s="59"/>
      <c r="F49" s="59"/>
      <c r="G49" s="59"/>
      <c r="H49" s="59"/>
      <c r="I49" s="59"/>
      <c r="J49" s="59"/>
      <c r="K49" s="59"/>
      <c r="L49" s="59"/>
      <c r="M49" s="59"/>
      <c r="N49" s="59"/>
      <c r="O49" s="59"/>
      <c r="P49" s="59"/>
      <c r="Q49" s="149">
        <f t="shared" si="0"/>
        <v>0</v>
      </c>
    </row>
    <row r="50" spans="1:17" x14ac:dyDescent="0.3">
      <c r="C50" s="59"/>
      <c r="D50" s="59"/>
      <c r="F50" s="59"/>
      <c r="G50" s="59"/>
      <c r="H50" s="59"/>
      <c r="I50" s="59"/>
      <c r="J50" s="59"/>
      <c r="K50" s="59"/>
      <c r="L50" s="59"/>
      <c r="M50" s="59"/>
      <c r="N50" s="59"/>
      <c r="O50" s="59"/>
      <c r="P50" s="59"/>
      <c r="Q50" s="149">
        <f t="shared" si="0"/>
        <v>0</v>
      </c>
    </row>
    <row r="51" spans="1:17" x14ac:dyDescent="0.3">
      <c r="C51" s="59"/>
      <c r="D51" s="59"/>
      <c r="F51" s="59"/>
      <c r="G51" s="59"/>
      <c r="H51" s="59"/>
      <c r="I51" s="59"/>
      <c r="J51" s="59"/>
      <c r="K51" s="59"/>
      <c r="L51" s="59"/>
      <c r="M51" s="59"/>
      <c r="N51" s="59"/>
      <c r="O51" s="59"/>
      <c r="P51" s="59"/>
      <c r="Q51" s="149">
        <f t="shared" si="0"/>
        <v>0</v>
      </c>
    </row>
    <row r="52" spans="1:17" x14ac:dyDescent="0.3">
      <c r="C52" s="59"/>
      <c r="D52" s="59"/>
      <c r="F52" s="59"/>
      <c r="G52" s="59"/>
      <c r="H52" s="59"/>
      <c r="I52" s="59"/>
      <c r="J52" s="59"/>
      <c r="K52" s="59"/>
      <c r="L52" s="59"/>
      <c r="M52" s="59"/>
      <c r="N52" s="59"/>
      <c r="O52" s="59"/>
      <c r="P52" s="59"/>
      <c r="Q52" s="149">
        <f t="shared" si="0"/>
        <v>0</v>
      </c>
    </row>
    <row r="53" spans="1:17" x14ac:dyDescent="0.3">
      <c r="C53" s="59"/>
      <c r="D53" s="59"/>
      <c r="F53" s="59"/>
      <c r="G53" s="59"/>
      <c r="H53" s="59"/>
      <c r="I53" s="59"/>
      <c r="J53" s="59"/>
      <c r="K53" s="59"/>
      <c r="L53" s="59"/>
      <c r="M53" s="59"/>
      <c r="N53" s="59"/>
      <c r="O53" s="59"/>
      <c r="P53" s="59"/>
      <c r="Q53" s="149">
        <f t="shared" si="0"/>
        <v>0</v>
      </c>
    </row>
    <row r="54" spans="1:17" x14ac:dyDescent="0.3">
      <c r="C54" s="59"/>
      <c r="D54" s="59"/>
      <c r="F54" s="59"/>
      <c r="G54" s="59"/>
      <c r="H54" s="59"/>
      <c r="I54" s="59"/>
      <c r="J54" s="59"/>
      <c r="K54" s="59"/>
      <c r="L54" s="59"/>
      <c r="M54" s="59"/>
      <c r="N54" s="59"/>
      <c r="O54" s="59"/>
      <c r="P54" s="59"/>
      <c r="Q54" s="149">
        <f t="shared" si="0"/>
        <v>0</v>
      </c>
    </row>
    <row r="55" spans="1:17" x14ac:dyDescent="0.3">
      <c r="A55" t="s">
        <v>753</v>
      </c>
      <c r="B55" t="s">
        <v>754</v>
      </c>
      <c r="D55" s="59"/>
      <c r="F55" s="59"/>
      <c r="G55" s="59"/>
      <c r="H55" s="59"/>
      <c r="I55" s="59"/>
      <c r="J55" s="59"/>
      <c r="K55" s="59"/>
      <c r="L55" s="59"/>
      <c r="M55" s="59"/>
      <c r="N55" s="59"/>
      <c r="O55" s="59"/>
      <c r="P55" s="59"/>
      <c r="Q55" s="149">
        <f t="shared" si="0"/>
        <v>0</v>
      </c>
    </row>
    <row r="56" spans="1:17" x14ac:dyDescent="0.3">
      <c r="A56">
        <v>30</v>
      </c>
      <c r="B56" t="s">
        <v>755</v>
      </c>
      <c r="D56" s="59"/>
      <c r="F56" s="59"/>
      <c r="G56" s="59"/>
      <c r="H56" s="59"/>
      <c r="I56" s="59"/>
      <c r="J56" s="59"/>
      <c r="K56" s="59"/>
      <c r="L56" s="59"/>
      <c r="M56" s="59"/>
      <c r="N56" s="59"/>
      <c r="O56" s="59"/>
      <c r="P56" s="59"/>
      <c r="Q56" s="149">
        <f t="shared" si="0"/>
        <v>0</v>
      </c>
    </row>
    <row r="58" spans="1:17" x14ac:dyDescent="0.3">
      <c r="A58">
        <v>31</v>
      </c>
      <c r="B58" s="91" t="s">
        <v>756</v>
      </c>
      <c r="D58" s="150">
        <f>SUM(D7:D56)</f>
        <v>0</v>
      </c>
      <c r="E58" s="116"/>
      <c r="F58" s="149">
        <f t="shared" ref="F58:Q58" si="1">SUM(F7:F56)</f>
        <v>0</v>
      </c>
      <c r="G58" s="149">
        <f t="shared" si="1"/>
        <v>0</v>
      </c>
      <c r="H58" s="149">
        <f t="shared" si="1"/>
        <v>0</v>
      </c>
      <c r="I58" s="149">
        <f t="shared" si="1"/>
        <v>0</v>
      </c>
      <c r="J58" s="149">
        <f t="shared" si="1"/>
        <v>0</v>
      </c>
      <c r="K58" s="149">
        <f t="shared" si="1"/>
        <v>0</v>
      </c>
      <c r="L58" s="149">
        <f t="shared" si="1"/>
        <v>0</v>
      </c>
      <c r="M58" s="149">
        <f t="shared" si="1"/>
        <v>0</v>
      </c>
      <c r="N58" s="149">
        <f t="shared" si="1"/>
        <v>0</v>
      </c>
      <c r="O58" s="149">
        <f t="shared" si="1"/>
        <v>0</v>
      </c>
      <c r="P58" s="149">
        <f t="shared" si="1"/>
        <v>0</v>
      </c>
      <c r="Q58" s="150">
        <f t="shared" si="1"/>
        <v>0</v>
      </c>
    </row>
    <row r="62" spans="1:17" x14ac:dyDescent="0.3">
      <c r="A62" s="34" t="s">
        <v>757</v>
      </c>
      <c r="B62" s="91" t="s">
        <v>758</v>
      </c>
      <c r="C62" s="91" t="s">
        <v>759</v>
      </c>
    </row>
    <row r="63" spans="1:17" x14ac:dyDescent="0.3">
      <c r="A63" s="4">
        <v>1</v>
      </c>
    </row>
    <row r="64" spans="1:17" x14ac:dyDescent="0.3">
      <c r="A64" s="4">
        <v>2</v>
      </c>
    </row>
    <row r="65" spans="1:1" x14ac:dyDescent="0.3">
      <c r="A65" s="4">
        <v>3</v>
      </c>
    </row>
    <row r="66" spans="1:1" x14ac:dyDescent="0.3">
      <c r="A66" s="4">
        <v>4</v>
      </c>
    </row>
    <row r="67" spans="1:1" x14ac:dyDescent="0.3">
      <c r="A67" s="4">
        <v>5</v>
      </c>
    </row>
    <row r="68" spans="1:1" x14ac:dyDescent="0.3">
      <c r="A68" s="4">
        <v>6</v>
      </c>
    </row>
    <row r="69" spans="1:1" x14ac:dyDescent="0.3">
      <c r="A69" s="4">
        <v>7</v>
      </c>
    </row>
    <row r="70" spans="1:1" x14ac:dyDescent="0.3">
      <c r="A70" s="4">
        <v>8</v>
      </c>
    </row>
    <row r="71" spans="1:1" x14ac:dyDescent="0.3">
      <c r="A71" s="4">
        <v>9</v>
      </c>
    </row>
    <row r="72" spans="1:1" x14ac:dyDescent="0.3">
      <c r="A72" s="4">
        <v>10</v>
      </c>
    </row>
  </sheetData>
  <mergeCells count="2">
    <mergeCell ref="C1:D1"/>
    <mergeCell ref="C2:D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Lists!$A$1:$A$2</xm:f>
          </x14:formula1>
          <xm:sqref>A4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72"/>
  <sheetViews>
    <sheetView workbookViewId="0"/>
  </sheetViews>
  <sheetFormatPr defaultColWidth="8.88671875" defaultRowHeight="14.4" x14ac:dyDescent="0.3"/>
  <cols>
    <col min="1" max="1" width="6.6640625" customWidth="1"/>
    <col min="2" max="2" width="7.6640625" customWidth="1"/>
    <col min="3" max="3" width="41.44140625" customWidth="1"/>
    <col min="4" max="4" width="11.109375" bestFit="1" customWidth="1"/>
    <col min="5" max="5" width="2.33203125" customWidth="1"/>
    <col min="6" max="6" width="8.88671875" customWidth="1"/>
  </cols>
  <sheetData>
    <row r="1" spans="1:17" ht="15" thickBot="1" x14ac:dyDescent="0.35">
      <c r="C1" s="233" t="s">
        <v>56</v>
      </c>
      <c r="D1" s="234"/>
    </row>
    <row r="2" spans="1:17" ht="15" thickBot="1" x14ac:dyDescent="0.35">
      <c r="C2" s="236" t="s">
        <v>57</v>
      </c>
      <c r="D2" s="237"/>
    </row>
    <row r="4" spans="1:17" x14ac:dyDescent="0.3">
      <c r="A4" s="57"/>
      <c r="B4" s="91" t="s">
        <v>543</v>
      </c>
    </row>
    <row r="5" spans="1:17" x14ac:dyDescent="0.3">
      <c r="A5" s="151" t="s">
        <v>79</v>
      </c>
      <c r="C5" s="59"/>
    </row>
    <row r="6" spans="1:17" s="91" customFormat="1" x14ac:dyDescent="0.3">
      <c r="A6" s="91" t="s">
        <v>701</v>
      </c>
      <c r="B6" s="91" t="s">
        <v>62</v>
      </c>
      <c r="D6" s="91" t="s">
        <v>702</v>
      </c>
      <c r="F6" s="34" t="s">
        <v>703</v>
      </c>
      <c r="G6" s="34" t="s">
        <v>704</v>
      </c>
      <c r="H6" s="34" t="s">
        <v>705</v>
      </c>
      <c r="I6" s="34" t="s">
        <v>706</v>
      </c>
      <c r="J6" s="34" t="s">
        <v>707</v>
      </c>
      <c r="K6" s="34" t="s">
        <v>708</v>
      </c>
      <c r="L6" s="34" t="s">
        <v>709</v>
      </c>
      <c r="M6" s="34" t="s">
        <v>710</v>
      </c>
      <c r="N6" s="34" t="s">
        <v>711</v>
      </c>
      <c r="O6" s="34" t="s">
        <v>712</v>
      </c>
      <c r="P6" s="34" t="s">
        <v>713</v>
      </c>
      <c r="Q6" s="34" t="s">
        <v>714</v>
      </c>
    </row>
    <row r="7" spans="1:17" x14ac:dyDescent="0.3">
      <c r="A7" s="3">
        <v>1</v>
      </c>
      <c r="B7" t="s">
        <v>715</v>
      </c>
      <c r="D7" s="59"/>
      <c r="F7" s="99"/>
      <c r="G7" s="99"/>
      <c r="H7" s="99"/>
      <c r="I7" s="99"/>
      <c r="J7" s="99"/>
      <c r="K7" s="99"/>
      <c r="L7" s="99"/>
      <c r="M7" s="99"/>
      <c r="N7" s="99"/>
      <c r="O7" s="99"/>
      <c r="P7" s="99"/>
      <c r="Q7" s="149">
        <f>SUM(F7:P7)</f>
        <v>0</v>
      </c>
    </row>
    <row r="8" spans="1:17" x14ac:dyDescent="0.3">
      <c r="A8" s="3">
        <v>2</v>
      </c>
      <c r="B8" t="s">
        <v>716</v>
      </c>
      <c r="D8" s="59"/>
      <c r="F8" s="99"/>
      <c r="G8" s="99"/>
      <c r="H8" s="99"/>
      <c r="I8" s="99"/>
      <c r="J8" s="99"/>
      <c r="K8" s="99"/>
      <c r="L8" s="99"/>
      <c r="M8" s="99"/>
      <c r="N8" s="99"/>
      <c r="O8" s="99"/>
      <c r="P8" s="99"/>
      <c r="Q8" s="149">
        <f t="shared" ref="Q8:Q56" si="0">SUM(F8:P8)</f>
        <v>0</v>
      </c>
    </row>
    <row r="9" spans="1:17" x14ac:dyDescent="0.3">
      <c r="A9" s="3">
        <v>4</v>
      </c>
      <c r="B9" t="s">
        <v>717</v>
      </c>
      <c r="D9" s="59"/>
      <c r="F9" s="99"/>
      <c r="G9" s="99"/>
      <c r="H9" s="99"/>
      <c r="I9" s="99"/>
      <c r="J9" s="99"/>
      <c r="K9" s="99"/>
      <c r="L9" s="99"/>
      <c r="M9" s="99"/>
      <c r="N9" s="99"/>
      <c r="O9" s="99"/>
      <c r="P9" s="99"/>
      <c r="Q9" s="149">
        <f t="shared" si="0"/>
        <v>0</v>
      </c>
    </row>
    <row r="10" spans="1:17" x14ac:dyDescent="0.3">
      <c r="A10" s="3"/>
      <c r="C10" t="s">
        <v>718</v>
      </c>
      <c r="D10" s="59"/>
      <c r="F10" s="99"/>
      <c r="G10" s="99"/>
      <c r="H10" s="99"/>
      <c r="I10" s="99"/>
      <c r="J10" s="99"/>
      <c r="K10" s="99"/>
      <c r="L10" s="99"/>
      <c r="M10" s="99"/>
      <c r="N10" s="99"/>
      <c r="O10" s="99"/>
      <c r="P10" s="99"/>
      <c r="Q10" s="149">
        <f t="shared" si="0"/>
        <v>0</v>
      </c>
    </row>
    <row r="11" spans="1:17" x14ac:dyDescent="0.3">
      <c r="A11" s="3"/>
      <c r="C11" t="s">
        <v>719</v>
      </c>
      <c r="D11" s="59"/>
      <c r="F11" s="99"/>
      <c r="G11" s="99"/>
      <c r="H11" s="99"/>
      <c r="I11" s="99"/>
      <c r="J11" s="99"/>
      <c r="K11" s="99"/>
      <c r="L11" s="99"/>
      <c r="M11" s="99"/>
      <c r="N11" s="99"/>
      <c r="O11" s="99"/>
      <c r="P11" s="99"/>
      <c r="Q11" s="149">
        <f t="shared" si="0"/>
        <v>0</v>
      </c>
    </row>
    <row r="12" spans="1:17" x14ac:dyDescent="0.3">
      <c r="A12" s="3"/>
      <c r="C12" t="s">
        <v>720</v>
      </c>
      <c r="D12" s="59"/>
      <c r="F12" s="99"/>
      <c r="G12" s="99"/>
      <c r="H12" s="99"/>
      <c r="I12" s="99"/>
      <c r="J12" s="99"/>
      <c r="K12" s="99"/>
      <c r="L12" s="99"/>
      <c r="M12" s="99"/>
      <c r="N12" s="99"/>
      <c r="O12" s="99"/>
      <c r="P12" s="99"/>
      <c r="Q12" s="149">
        <f t="shared" si="0"/>
        <v>0</v>
      </c>
    </row>
    <row r="13" spans="1:17" x14ac:dyDescent="0.3">
      <c r="A13" s="3"/>
      <c r="C13" t="s">
        <v>721</v>
      </c>
      <c r="D13" s="59"/>
      <c r="F13" s="99"/>
      <c r="G13" s="99"/>
      <c r="H13" s="99"/>
      <c r="I13" s="99"/>
      <c r="J13" s="99"/>
      <c r="K13" s="99"/>
      <c r="L13" s="99"/>
      <c r="M13" s="99"/>
      <c r="N13" s="99"/>
      <c r="O13" s="99"/>
      <c r="P13" s="99"/>
      <c r="Q13" s="149">
        <f t="shared" si="0"/>
        <v>0</v>
      </c>
    </row>
    <row r="14" spans="1:17" x14ac:dyDescent="0.3">
      <c r="A14" s="3"/>
      <c r="C14" t="s">
        <v>722</v>
      </c>
      <c r="D14" s="59"/>
      <c r="F14" s="99"/>
      <c r="G14" s="99"/>
      <c r="H14" s="99"/>
      <c r="I14" s="99"/>
      <c r="J14" s="99"/>
      <c r="K14" s="99"/>
      <c r="L14" s="99"/>
      <c r="M14" s="99"/>
      <c r="N14" s="99"/>
      <c r="O14" s="99"/>
      <c r="P14" s="99"/>
      <c r="Q14" s="149">
        <f t="shared" si="0"/>
        <v>0</v>
      </c>
    </row>
    <row r="15" spans="1:17" x14ac:dyDescent="0.3">
      <c r="A15" s="3"/>
      <c r="C15" t="s">
        <v>723</v>
      </c>
      <c r="D15" s="59"/>
      <c r="F15" s="99"/>
      <c r="G15" s="99"/>
      <c r="H15" s="99"/>
      <c r="I15" s="99"/>
      <c r="J15" s="99"/>
      <c r="K15" s="99"/>
      <c r="L15" s="99"/>
      <c r="M15" s="99"/>
      <c r="N15" s="99"/>
      <c r="O15" s="99"/>
      <c r="P15" s="99"/>
      <c r="Q15" s="149">
        <f t="shared" si="0"/>
        <v>0</v>
      </c>
    </row>
    <row r="16" spans="1:17" x14ac:dyDescent="0.3">
      <c r="A16" s="3">
        <v>6</v>
      </c>
      <c r="B16" t="s">
        <v>724</v>
      </c>
      <c r="D16" s="59"/>
      <c r="F16" s="99"/>
      <c r="G16" s="99"/>
      <c r="H16" s="99"/>
      <c r="I16" s="99"/>
      <c r="J16" s="99"/>
      <c r="K16" s="99"/>
      <c r="L16" s="99"/>
      <c r="M16" s="99"/>
      <c r="N16" s="99"/>
      <c r="O16" s="99"/>
      <c r="P16" s="99"/>
      <c r="Q16" s="149">
        <f t="shared" si="0"/>
        <v>0</v>
      </c>
    </row>
    <row r="17" spans="1:17" x14ac:dyDescent="0.3">
      <c r="A17" s="3">
        <v>8</v>
      </c>
      <c r="B17" t="s">
        <v>725</v>
      </c>
      <c r="D17" s="59"/>
      <c r="F17" s="99"/>
      <c r="G17" s="99"/>
      <c r="H17" s="99"/>
      <c r="I17" s="99"/>
      <c r="J17" s="99"/>
      <c r="K17" s="99"/>
      <c r="L17" s="99"/>
      <c r="M17" s="99"/>
      <c r="N17" s="99"/>
      <c r="O17" s="99"/>
      <c r="P17" s="99"/>
      <c r="Q17" s="149">
        <f t="shared" si="0"/>
        <v>0</v>
      </c>
    </row>
    <row r="18" spans="1:17" x14ac:dyDescent="0.3">
      <c r="A18" s="3">
        <v>9</v>
      </c>
      <c r="B18" t="s">
        <v>726</v>
      </c>
      <c r="D18" s="59"/>
      <c r="F18" s="99"/>
      <c r="G18" s="99"/>
      <c r="H18" s="99"/>
      <c r="I18" s="99"/>
      <c r="J18" s="99"/>
      <c r="K18" s="99"/>
      <c r="L18" s="99"/>
      <c r="M18" s="99"/>
      <c r="N18" s="99"/>
      <c r="O18" s="99"/>
      <c r="P18" s="99"/>
      <c r="Q18" s="149">
        <f t="shared" si="0"/>
        <v>0</v>
      </c>
    </row>
    <row r="19" spans="1:17" x14ac:dyDescent="0.3">
      <c r="A19" s="3">
        <v>10</v>
      </c>
      <c r="B19" t="s">
        <v>727</v>
      </c>
      <c r="D19" s="59"/>
      <c r="F19" s="99"/>
      <c r="G19" s="99"/>
      <c r="H19" s="99"/>
      <c r="I19" s="99"/>
      <c r="J19" s="99"/>
      <c r="K19" s="99"/>
      <c r="L19" s="99"/>
      <c r="M19" s="99"/>
      <c r="N19" s="99"/>
      <c r="O19" s="99"/>
      <c r="P19" s="99"/>
      <c r="Q19" s="149">
        <f t="shared" si="0"/>
        <v>0</v>
      </c>
    </row>
    <row r="20" spans="1:17" x14ac:dyDescent="0.3">
      <c r="A20" s="3">
        <v>11</v>
      </c>
      <c r="B20" t="s">
        <v>728</v>
      </c>
      <c r="D20" s="59"/>
      <c r="F20" s="99"/>
      <c r="G20" s="99"/>
      <c r="H20" s="99"/>
      <c r="I20" s="99"/>
      <c r="J20" s="99"/>
      <c r="K20" s="99"/>
      <c r="L20" s="99"/>
      <c r="M20" s="99"/>
      <c r="N20" s="99"/>
      <c r="O20" s="99"/>
      <c r="P20" s="99"/>
      <c r="Q20" s="149">
        <f t="shared" si="0"/>
        <v>0</v>
      </c>
    </row>
    <row r="21" spans="1:17" x14ac:dyDescent="0.3">
      <c r="A21" s="3">
        <v>12</v>
      </c>
      <c r="B21" t="s">
        <v>729</v>
      </c>
      <c r="D21" s="59"/>
      <c r="F21" s="99"/>
      <c r="G21" s="99"/>
      <c r="H21" s="99"/>
      <c r="I21" s="99"/>
      <c r="J21" s="99"/>
      <c r="K21" s="99"/>
      <c r="L21" s="99"/>
      <c r="M21" s="99"/>
      <c r="N21" s="99"/>
      <c r="O21" s="99"/>
      <c r="P21" s="99"/>
      <c r="Q21" s="149">
        <f t="shared" si="0"/>
        <v>0</v>
      </c>
    </row>
    <row r="22" spans="1:17" x14ac:dyDescent="0.3">
      <c r="A22" s="3">
        <v>13</v>
      </c>
      <c r="B22" t="s">
        <v>730</v>
      </c>
      <c r="D22" s="59"/>
      <c r="F22" s="99"/>
      <c r="G22" s="99"/>
      <c r="H22" s="99"/>
      <c r="I22" s="99"/>
      <c r="J22" s="99"/>
      <c r="K22" s="99"/>
      <c r="L22" s="99"/>
      <c r="M22" s="99"/>
      <c r="N22" s="99"/>
      <c r="O22" s="99"/>
      <c r="P22" s="99"/>
      <c r="Q22" s="149">
        <f t="shared" si="0"/>
        <v>0</v>
      </c>
    </row>
    <row r="23" spans="1:17" x14ac:dyDescent="0.3">
      <c r="A23" s="3">
        <v>14</v>
      </c>
      <c r="B23" t="s">
        <v>731</v>
      </c>
      <c r="D23" s="59"/>
      <c r="F23" s="99"/>
      <c r="G23" s="99"/>
      <c r="H23" s="99"/>
      <c r="I23" s="99"/>
      <c r="J23" s="99"/>
      <c r="K23" s="99"/>
      <c r="L23" s="99"/>
      <c r="M23" s="99"/>
      <c r="N23" s="99"/>
      <c r="O23" s="99"/>
      <c r="P23" s="99"/>
      <c r="Q23" s="149">
        <f t="shared" si="0"/>
        <v>0</v>
      </c>
    </row>
    <row r="24" spans="1:17" x14ac:dyDescent="0.3">
      <c r="A24" s="3">
        <v>15</v>
      </c>
      <c r="B24" t="s">
        <v>732</v>
      </c>
      <c r="D24" s="59"/>
      <c r="F24" s="99"/>
      <c r="G24" s="99"/>
      <c r="H24" s="99"/>
      <c r="I24" s="99"/>
      <c r="J24" s="99"/>
      <c r="K24" s="99"/>
      <c r="L24" s="99"/>
      <c r="M24" s="99"/>
      <c r="N24" s="99"/>
      <c r="O24" s="99"/>
      <c r="P24" s="99"/>
      <c r="Q24" s="149">
        <f t="shared" si="0"/>
        <v>0</v>
      </c>
    </row>
    <row r="25" spans="1:17" x14ac:dyDescent="0.3">
      <c r="A25" s="3" t="s">
        <v>406</v>
      </c>
      <c r="B25" t="s">
        <v>733</v>
      </c>
      <c r="D25" s="59"/>
      <c r="F25" s="99"/>
      <c r="G25" s="99"/>
      <c r="H25" s="99"/>
      <c r="I25" s="99"/>
      <c r="J25" s="99"/>
      <c r="K25" s="99"/>
      <c r="L25" s="99"/>
      <c r="M25" s="99"/>
      <c r="N25" s="99"/>
      <c r="O25" s="99"/>
      <c r="P25" s="99"/>
      <c r="Q25" s="149">
        <f t="shared" si="0"/>
        <v>0</v>
      </c>
    </row>
    <row r="26" spans="1:17" x14ac:dyDescent="0.3">
      <c r="A26" s="3" t="s">
        <v>407</v>
      </c>
      <c r="B26" t="s">
        <v>734</v>
      </c>
      <c r="D26" s="59"/>
      <c r="F26" s="99"/>
      <c r="G26" s="99"/>
      <c r="H26" s="99"/>
      <c r="I26" s="99"/>
      <c r="J26" s="99"/>
      <c r="K26" s="99"/>
      <c r="L26" s="99"/>
      <c r="M26" s="99"/>
      <c r="N26" s="99"/>
      <c r="O26" s="99"/>
      <c r="P26" s="99"/>
      <c r="Q26" s="149">
        <f t="shared" si="0"/>
        <v>0</v>
      </c>
    </row>
    <row r="27" spans="1:17" x14ac:dyDescent="0.3">
      <c r="A27" s="3">
        <v>17</v>
      </c>
      <c r="B27" t="s">
        <v>735</v>
      </c>
      <c r="D27" s="59"/>
      <c r="F27" s="99"/>
      <c r="G27" s="99"/>
      <c r="H27" s="99"/>
      <c r="I27" s="99"/>
      <c r="J27" s="99"/>
      <c r="K27" s="99"/>
      <c r="L27" s="99"/>
      <c r="M27" s="99"/>
      <c r="N27" s="99"/>
      <c r="O27" s="99"/>
      <c r="P27" s="99"/>
      <c r="Q27" s="149">
        <f t="shared" si="0"/>
        <v>0</v>
      </c>
    </row>
    <row r="28" spans="1:17" x14ac:dyDescent="0.3">
      <c r="A28" s="3">
        <v>18</v>
      </c>
      <c r="B28" t="s">
        <v>736</v>
      </c>
      <c r="D28" s="59"/>
      <c r="F28" s="99"/>
      <c r="G28" s="99"/>
      <c r="H28" s="99"/>
      <c r="I28" s="99"/>
      <c r="J28" s="99"/>
      <c r="K28" s="99"/>
      <c r="L28" s="99"/>
      <c r="M28" s="99"/>
      <c r="N28" s="99"/>
      <c r="O28" s="99"/>
      <c r="P28" s="99"/>
      <c r="Q28" s="149">
        <f t="shared" si="0"/>
        <v>0</v>
      </c>
    </row>
    <row r="29" spans="1:17" x14ac:dyDescent="0.3">
      <c r="A29" s="3">
        <v>19</v>
      </c>
      <c r="B29" t="s">
        <v>737</v>
      </c>
      <c r="D29" s="59"/>
      <c r="F29" s="99"/>
      <c r="G29" s="99"/>
      <c r="H29" s="99"/>
      <c r="I29" s="99"/>
      <c r="J29" s="99"/>
      <c r="K29" s="99"/>
      <c r="L29" s="99"/>
      <c r="M29" s="99"/>
      <c r="N29" s="99"/>
      <c r="O29" s="99"/>
      <c r="P29" s="99"/>
      <c r="Q29" s="149">
        <f t="shared" si="0"/>
        <v>0</v>
      </c>
    </row>
    <row r="30" spans="1:17" x14ac:dyDescent="0.3">
      <c r="A30" s="3" t="s">
        <v>738</v>
      </c>
      <c r="B30" t="s">
        <v>739</v>
      </c>
      <c r="D30" s="59"/>
      <c r="F30" s="99"/>
      <c r="G30" s="99"/>
      <c r="H30" s="99"/>
      <c r="I30" s="99"/>
      <c r="J30" s="99"/>
      <c r="K30" s="99"/>
      <c r="L30" s="99"/>
      <c r="M30" s="99"/>
      <c r="N30" s="99"/>
      <c r="O30" s="99"/>
      <c r="P30" s="99"/>
      <c r="Q30" s="149">
        <f t="shared" si="0"/>
        <v>0</v>
      </c>
    </row>
    <row r="31" spans="1:17" x14ac:dyDescent="0.3">
      <c r="A31" s="3" t="s">
        <v>740</v>
      </c>
      <c r="B31" t="s">
        <v>741</v>
      </c>
      <c r="D31" s="59"/>
      <c r="F31" s="99"/>
      <c r="G31" s="99"/>
      <c r="H31" s="99"/>
      <c r="I31" s="99"/>
      <c r="J31" s="99"/>
      <c r="K31" s="99"/>
      <c r="L31" s="99"/>
      <c r="M31" s="99"/>
      <c r="N31" s="99"/>
      <c r="O31" s="99"/>
      <c r="P31" s="99"/>
      <c r="Q31" s="149">
        <f t="shared" si="0"/>
        <v>0</v>
      </c>
    </row>
    <row r="32" spans="1:17" x14ac:dyDescent="0.3">
      <c r="A32" s="3">
        <v>21</v>
      </c>
      <c r="B32" t="s">
        <v>742</v>
      </c>
      <c r="D32" s="59"/>
      <c r="F32" s="99"/>
      <c r="G32" s="99"/>
      <c r="H32" s="99"/>
      <c r="I32" s="99"/>
      <c r="J32" s="99"/>
      <c r="K32" s="99"/>
      <c r="L32" s="99"/>
      <c r="M32" s="99"/>
      <c r="N32" s="99"/>
      <c r="O32" s="99"/>
      <c r="P32" s="99"/>
      <c r="Q32" s="149">
        <f t="shared" si="0"/>
        <v>0</v>
      </c>
    </row>
    <row r="33" spans="1:17" x14ac:dyDescent="0.3">
      <c r="A33" s="3">
        <v>22</v>
      </c>
      <c r="B33" t="s">
        <v>743</v>
      </c>
      <c r="D33" s="59"/>
      <c r="F33" s="99"/>
      <c r="G33" s="99"/>
      <c r="H33" s="99"/>
      <c r="I33" s="99"/>
      <c r="J33" s="99"/>
      <c r="K33" s="99"/>
      <c r="L33" s="99"/>
      <c r="M33" s="99"/>
      <c r="N33" s="99"/>
      <c r="O33" s="99"/>
      <c r="P33" s="99"/>
      <c r="Q33" s="149">
        <f t="shared" si="0"/>
        <v>0</v>
      </c>
    </row>
    <row r="34" spans="1:17" x14ac:dyDescent="0.3">
      <c r="A34" s="3">
        <v>23</v>
      </c>
      <c r="B34" t="s">
        <v>744</v>
      </c>
      <c r="D34" s="59"/>
      <c r="F34" s="99"/>
      <c r="G34" s="99"/>
      <c r="H34" s="99"/>
      <c r="I34" s="99"/>
      <c r="J34" s="99"/>
      <c r="K34" s="99"/>
      <c r="L34" s="99"/>
      <c r="M34" s="99"/>
      <c r="N34" s="99"/>
      <c r="O34" s="99"/>
      <c r="P34" s="99"/>
      <c r="Q34" s="149">
        <f t="shared" si="0"/>
        <v>0</v>
      </c>
    </row>
    <row r="35" spans="1:17" x14ac:dyDescent="0.3">
      <c r="A35" s="3" t="s">
        <v>745</v>
      </c>
      <c r="B35" t="s">
        <v>746</v>
      </c>
      <c r="D35" s="59"/>
      <c r="F35" s="99"/>
      <c r="G35" s="99"/>
      <c r="H35" s="99"/>
      <c r="I35" s="99"/>
      <c r="J35" s="99"/>
      <c r="K35" s="99"/>
      <c r="L35" s="99"/>
      <c r="M35" s="99"/>
      <c r="N35" s="99"/>
      <c r="O35" s="99"/>
      <c r="P35" s="99"/>
      <c r="Q35" s="149">
        <f t="shared" si="0"/>
        <v>0</v>
      </c>
    </row>
    <row r="36" spans="1:17" x14ac:dyDescent="0.3">
      <c r="A36" s="3" t="s">
        <v>747</v>
      </c>
      <c r="B36" t="s">
        <v>748</v>
      </c>
      <c r="D36" s="59"/>
      <c r="F36" s="99"/>
      <c r="G36" s="99"/>
      <c r="H36" s="99"/>
      <c r="I36" s="99"/>
      <c r="J36" s="99"/>
      <c r="K36" s="99"/>
      <c r="L36" s="99"/>
      <c r="M36" s="99"/>
      <c r="N36" s="99"/>
      <c r="O36" s="99"/>
      <c r="P36" s="99"/>
      <c r="Q36" s="149">
        <f t="shared" si="0"/>
        <v>0</v>
      </c>
    </row>
    <row r="37" spans="1:17" x14ac:dyDescent="0.3">
      <c r="A37" s="3">
        <v>25</v>
      </c>
      <c r="B37" t="s">
        <v>749</v>
      </c>
      <c r="D37" s="59"/>
      <c r="F37" s="99"/>
      <c r="G37" s="99"/>
      <c r="H37" s="99"/>
      <c r="I37" s="99"/>
      <c r="J37" s="99"/>
      <c r="K37" s="99"/>
      <c r="L37" s="99"/>
      <c r="M37" s="99"/>
      <c r="N37" s="99"/>
      <c r="O37" s="99"/>
      <c r="P37" s="99"/>
      <c r="Q37" s="149">
        <f t="shared" si="0"/>
        <v>0</v>
      </c>
    </row>
    <row r="38" spans="1:17" x14ac:dyDescent="0.3">
      <c r="A38" s="3">
        <v>26</v>
      </c>
      <c r="B38" t="s">
        <v>750</v>
      </c>
      <c r="D38" s="59"/>
      <c r="F38" s="99"/>
      <c r="G38" s="99"/>
      <c r="H38" s="99"/>
      <c r="I38" s="99"/>
      <c r="J38" s="99"/>
      <c r="K38" s="99"/>
      <c r="L38" s="99"/>
      <c r="M38" s="99"/>
      <c r="N38" s="99"/>
      <c r="O38" s="99"/>
      <c r="P38" s="99"/>
      <c r="Q38" s="149">
        <f t="shared" si="0"/>
        <v>0</v>
      </c>
    </row>
    <row r="39" spans="1:17" x14ac:dyDescent="0.3">
      <c r="A39" s="3" t="s">
        <v>751</v>
      </c>
      <c r="B39" t="s">
        <v>752</v>
      </c>
      <c r="D39" s="59"/>
      <c r="F39" s="99"/>
      <c r="G39" s="99"/>
      <c r="H39" s="99"/>
      <c r="I39" s="99"/>
      <c r="J39" s="99"/>
      <c r="K39" s="99"/>
      <c r="L39" s="99"/>
      <c r="M39" s="99"/>
      <c r="N39" s="99"/>
      <c r="O39" s="99"/>
      <c r="P39" s="99"/>
      <c r="Q39" s="149">
        <f t="shared" si="0"/>
        <v>0</v>
      </c>
    </row>
    <row r="40" spans="1:17" x14ac:dyDescent="0.3">
      <c r="A40" s="3"/>
      <c r="C40" s="59"/>
      <c r="D40" s="59"/>
      <c r="F40" s="99"/>
      <c r="G40" s="99"/>
      <c r="H40" s="99"/>
      <c r="I40" s="99"/>
      <c r="J40" s="99"/>
      <c r="K40" s="99"/>
      <c r="L40" s="99"/>
      <c r="M40" s="99"/>
      <c r="N40" s="99"/>
      <c r="O40" s="99"/>
      <c r="P40" s="99"/>
      <c r="Q40" s="149">
        <f t="shared" si="0"/>
        <v>0</v>
      </c>
    </row>
    <row r="41" spans="1:17" x14ac:dyDescent="0.3">
      <c r="C41" s="59"/>
      <c r="D41" s="59"/>
      <c r="F41" s="99"/>
      <c r="G41" s="99"/>
      <c r="H41" s="99"/>
      <c r="I41" s="99"/>
      <c r="J41" s="99"/>
      <c r="K41" s="99"/>
      <c r="L41" s="99"/>
      <c r="M41" s="99"/>
      <c r="N41" s="99"/>
      <c r="O41" s="99"/>
      <c r="P41" s="99"/>
      <c r="Q41" s="149">
        <f t="shared" si="0"/>
        <v>0</v>
      </c>
    </row>
    <row r="42" spans="1:17" x14ac:dyDescent="0.3">
      <c r="C42" s="59"/>
      <c r="D42" s="59"/>
      <c r="F42" s="99"/>
      <c r="G42" s="99"/>
      <c r="H42" s="99"/>
      <c r="I42" s="99"/>
      <c r="J42" s="99"/>
      <c r="K42" s="99"/>
      <c r="L42" s="99"/>
      <c r="M42" s="99"/>
      <c r="N42" s="99"/>
      <c r="O42" s="99"/>
      <c r="P42" s="99"/>
      <c r="Q42" s="149">
        <f t="shared" si="0"/>
        <v>0</v>
      </c>
    </row>
    <row r="43" spans="1:17" x14ac:dyDescent="0.3">
      <c r="C43" s="59"/>
      <c r="D43" s="59"/>
      <c r="F43" s="99"/>
      <c r="G43" s="99"/>
      <c r="H43" s="99"/>
      <c r="I43" s="99"/>
      <c r="J43" s="99"/>
      <c r="K43" s="99"/>
      <c r="L43" s="99"/>
      <c r="M43" s="99"/>
      <c r="N43" s="99"/>
      <c r="O43" s="99"/>
      <c r="P43" s="99"/>
      <c r="Q43" s="149">
        <f t="shared" si="0"/>
        <v>0</v>
      </c>
    </row>
    <row r="44" spans="1:17" x14ac:dyDescent="0.3">
      <c r="C44" s="59"/>
      <c r="D44" s="59"/>
      <c r="F44" s="99"/>
      <c r="G44" s="99"/>
      <c r="H44" s="99"/>
      <c r="I44" s="99"/>
      <c r="J44" s="99"/>
      <c r="K44" s="99"/>
      <c r="L44" s="99"/>
      <c r="M44" s="99"/>
      <c r="N44" s="99"/>
      <c r="O44" s="99"/>
      <c r="P44" s="99"/>
      <c r="Q44" s="149">
        <f t="shared" si="0"/>
        <v>0</v>
      </c>
    </row>
    <row r="45" spans="1:17" x14ac:dyDescent="0.3">
      <c r="C45" s="59"/>
      <c r="D45" s="59"/>
      <c r="F45" s="99"/>
      <c r="G45" s="99"/>
      <c r="H45" s="99"/>
      <c r="I45" s="99"/>
      <c r="J45" s="99"/>
      <c r="K45" s="99"/>
      <c r="L45" s="99"/>
      <c r="M45" s="99"/>
      <c r="N45" s="99"/>
      <c r="O45" s="99"/>
      <c r="P45" s="99"/>
      <c r="Q45" s="149">
        <f t="shared" si="0"/>
        <v>0</v>
      </c>
    </row>
    <row r="46" spans="1:17" x14ac:dyDescent="0.3">
      <c r="C46" s="59"/>
      <c r="D46" s="59"/>
      <c r="F46" s="99"/>
      <c r="G46" s="99"/>
      <c r="H46" s="99"/>
      <c r="I46" s="99"/>
      <c r="J46" s="99"/>
      <c r="K46" s="99"/>
      <c r="L46" s="99"/>
      <c r="M46" s="99"/>
      <c r="N46" s="99"/>
      <c r="O46" s="99"/>
      <c r="P46" s="99"/>
      <c r="Q46" s="149">
        <f t="shared" si="0"/>
        <v>0</v>
      </c>
    </row>
    <row r="47" spans="1:17" x14ac:dyDescent="0.3">
      <c r="C47" s="59"/>
      <c r="D47" s="59"/>
      <c r="F47" s="99"/>
      <c r="G47" s="99"/>
      <c r="H47" s="99"/>
      <c r="I47" s="99"/>
      <c r="J47" s="99"/>
      <c r="K47" s="99"/>
      <c r="L47" s="99"/>
      <c r="M47" s="99"/>
      <c r="N47" s="99"/>
      <c r="O47" s="99"/>
      <c r="P47" s="99"/>
      <c r="Q47" s="149">
        <f t="shared" si="0"/>
        <v>0</v>
      </c>
    </row>
    <row r="48" spans="1:17" x14ac:dyDescent="0.3">
      <c r="C48" s="59"/>
      <c r="D48" s="59"/>
      <c r="F48" s="99"/>
      <c r="G48" s="99"/>
      <c r="H48" s="99"/>
      <c r="I48" s="99"/>
      <c r="J48" s="99"/>
      <c r="K48" s="99"/>
      <c r="L48" s="99"/>
      <c r="M48" s="99"/>
      <c r="N48" s="99"/>
      <c r="O48" s="99"/>
      <c r="P48" s="99"/>
      <c r="Q48" s="149">
        <f t="shared" si="0"/>
        <v>0</v>
      </c>
    </row>
    <row r="49" spans="1:17" x14ac:dyDescent="0.3">
      <c r="C49" s="59"/>
      <c r="D49" s="59"/>
      <c r="F49" s="99"/>
      <c r="G49" s="99"/>
      <c r="H49" s="99"/>
      <c r="I49" s="99"/>
      <c r="J49" s="99"/>
      <c r="K49" s="99"/>
      <c r="L49" s="99"/>
      <c r="M49" s="99"/>
      <c r="N49" s="99"/>
      <c r="O49" s="99"/>
      <c r="P49" s="99"/>
      <c r="Q49" s="149">
        <f t="shared" si="0"/>
        <v>0</v>
      </c>
    </row>
    <row r="50" spans="1:17" x14ac:dyDescent="0.3">
      <c r="C50" s="59"/>
      <c r="D50" s="59"/>
      <c r="F50" s="99"/>
      <c r="G50" s="99"/>
      <c r="H50" s="99"/>
      <c r="I50" s="99"/>
      <c r="J50" s="99"/>
      <c r="K50" s="99"/>
      <c r="L50" s="99"/>
      <c r="M50" s="99"/>
      <c r="N50" s="99"/>
      <c r="O50" s="99"/>
      <c r="P50" s="99"/>
      <c r="Q50" s="149">
        <f t="shared" si="0"/>
        <v>0</v>
      </c>
    </row>
    <row r="51" spans="1:17" x14ac:dyDescent="0.3">
      <c r="C51" s="59"/>
      <c r="D51" s="59"/>
      <c r="F51" s="99"/>
      <c r="G51" s="99"/>
      <c r="H51" s="99"/>
      <c r="I51" s="99"/>
      <c r="J51" s="99"/>
      <c r="K51" s="99"/>
      <c r="L51" s="99"/>
      <c r="M51" s="99"/>
      <c r="N51" s="99"/>
      <c r="O51" s="99"/>
      <c r="P51" s="99"/>
      <c r="Q51" s="149">
        <f t="shared" si="0"/>
        <v>0</v>
      </c>
    </row>
    <row r="52" spans="1:17" x14ac:dyDescent="0.3">
      <c r="C52" s="59"/>
      <c r="D52" s="59"/>
      <c r="F52" s="99"/>
      <c r="G52" s="99"/>
      <c r="H52" s="99"/>
      <c r="I52" s="99"/>
      <c r="J52" s="99"/>
      <c r="K52" s="99"/>
      <c r="L52" s="99"/>
      <c r="M52" s="99"/>
      <c r="N52" s="99"/>
      <c r="O52" s="99"/>
      <c r="P52" s="99"/>
      <c r="Q52" s="149">
        <f t="shared" si="0"/>
        <v>0</v>
      </c>
    </row>
    <row r="53" spans="1:17" x14ac:dyDescent="0.3">
      <c r="C53" s="59"/>
      <c r="D53" s="59"/>
      <c r="F53" s="99"/>
      <c r="G53" s="99"/>
      <c r="H53" s="99"/>
      <c r="I53" s="99"/>
      <c r="J53" s="99"/>
      <c r="K53" s="99"/>
      <c r="L53" s="99"/>
      <c r="M53" s="99"/>
      <c r="N53" s="99"/>
      <c r="O53" s="99"/>
      <c r="P53" s="99"/>
      <c r="Q53" s="149">
        <f t="shared" si="0"/>
        <v>0</v>
      </c>
    </row>
    <row r="54" spans="1:17" x14ac:dyDescent="0.3">
      <c r="C54" s="59"/>
      <c r="D54" s="59"/>
      <c r="F54" s="99"/>
      <c r="G54" s="99"/>
      <c r="H54" s="99"/>
      <c r="I54" s="99"/>
      <c r="J54" s="99"/>
      <c r="K54" s="99"/>
      <c r="L54" s="99"/>
      <c r="M54" s="99"/>
      <c r="N54" s="99"/>
      <c r="O54" s="99"/>
      <c r="P54" s="99"/>
      <c r="Q54" s="149">
        <f t="shared" si="0"/>
        <v>0</v>
      </c>
    </row>
    <row r="55" spans="1:17" x14ac:dyDescent="0.3">
      <c r="A55" t="s">
        <v>753</v>
      </c>
      <c r="B55" t="s">
        <v>754</v>
      </c>
      <c r="D55" s="59"/>
      <c r="F55" s="99"/>
      <c r="G55" s="99"/>
      <c r="H55" s="99"/>
      <c r="I55" s="99"/>
      <c r="J55" s="99"/>
      <c r="K55" s="99"/>
      <c r="L55" s="99"/>
      <c r="M55" s="99"/>
      <c r="N55" s="99"/>
      <c r="O55" s="99"/>
      <c r="P55" s="99"/>
      <c r="Q55" s="149">
        <f t="shared" si="0"/>
        <v>0</v>
      </c>
    </row>
    <row r="56" spans="1:17" x14ac:dyDescent="0.3">
      <c r="A56">
        <v>30</v>
      </c>
      <c r="B56" t="s">
        <v>755</v>
      </c>
      <c r="D56" s="59"/>
      <c r="F56" s="99"/>
      <c r="G56" s="99"/>
      <c r="H56" s="99"/>
      <c r="I56" s="99"/>
      <c r="J56" s="99"/>
      <c r="K56" s="99"/>
      <c r="L56" s="99"/>
      <c r="M56" s="99"/>
      <c r="N56" s="99"/>
      <c r="O56" s="99"/>
      <c r="P56" s="99"/>
      <c r="Q56" s="149">
        <f t="shared" si="0"/>
        <v>0</v>
      </c>
    </row>
    <row r="58" spans="1:17" x14ac:dyDescent="0.3">
      <c r="A58">
        <v>31</v>
      </c>
      <c r="B58" s="91" t="s">
        <v>756</v>
      </c>
      <c r="D58" s="150">
        <f>SUM(D7:D56)</f>
        <v>0</v>
      </c>
      <c r="E58" s="116"/>
      <c r="F58" s="149">
        <f t="shared" ref="F58:Q58" si="1">SUM(F7:F56)</f>
        <v>0</v>
      </c>
      <c r="G58" s="149">
        <f t="shared" si="1"/>
        <v>0</v>
      </c>
      <c r="H58" s="149">
        <f t="shared" si="1"/>
        <v>0</v>
      </c>
      <c r="I58" s="149">
        <f t="shared" si="1"/>
        <v>0</v>
      </c>
      <c r="J58" s="149">
        <f t="shared" si="1"/>
        <v>0</v>
      </c>
      <c r="K58" s="149">
        <f t="shared" si="1"/>
        <v>0</v>
      </c>
      <c r="L58" s="149">
        <f t="shared" si="1"/>
        <v>0</v>
      </c>
      <c r="M58" s="149">
        <f t="shared" si="1"/>
        <v>0</v>
      </c>
      <c r="N58" s="149">
        <f t="shared" si="1"/>
        <v>0</v>
      </c>
      <c r="O58" s="149">
        <f t="shared" si="1"/>
        <v>0</v>
      </c>
      <c r="P58" s="149">
        <f t="shared" si="1"/>
        <v>0</v>
      </c>
      <c r="Q58" s="150">
        <f t="shared" si="1"/>
        <v>0</v>
      </c>
    </row>
    <row r="62" spans="1:17" x14ac:dyDescent="0.3">
      <c r="A62" s="34" t="s">
        <v>757</v>
      </c>
      <c r="B62" s="91" t="s">
        <v>758</v>
      </c>
      <c r="C62" s="91" t="s">
        <v>759</v>
      </c>
    </row>
    <row r="63" spans="1:17" x14ac:dyDescent="0.3">
      <c r="A63" s="4">
        <v>1</v>
      </c>
    </row>
    <row r="64" spans="1:17" x14ac:dyDescent="0.3">
      <c r="A64" s="4">
        <v>2</v>
      </c>
    </row>
    <row r="65" spans="1:1" x14ac:dyDescent="0.3">
      <c r="A65" s="4">
        <v>3</v>
      </c>
    </row>
    <row r="66" spans="1:1" x14ac:dyDescent="0.3">
      <c r="A66" s="4">
        <v>4</v>
      </c>
    </row>
    <row r="67" spans="1:1" x14ac:dyDescent="0.3">
      <c r="A67" s="4">
        <v>5</v>
      </c>
    </row>
    <row r="68" spans="1:1" x14ac:dyDescent="0.3">
      <c r="A68" s="4">
        <v>6</v>
      </c>
    </row>
    <row r="69" spans="1:1" x14ac:dyDescent="0.3">
      <c r="A69" s="4">
        <v>7</v>
      </c>
    </row>
    <row r="70" spans="1:1" x14ac:dyDescent="0.3">
      <c r="A70" s="4">
        <v>8</v>
      </c>
    </row>
    <row r="71" spans="1:1" x14ac:dyDescent="0.3">
      <c r="A71" s="4">
        <v>9</v>
      </c>
    </row>
    <row r="72" spans="1:1" x14ac:dyDescent="0.3">
      <c r="A72" s="4">
        <v>10</v>
      </c>
    </row>
  </sheetData>
  <mergeCells count="2">
    <mergeCell ref="C1:D1"/>
    <mergeCell ref="C2:D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Lists!$A$1:$A$2</xm:f>
          </x14:formula1>
          <xm:sqref>A4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51"/>
  <sheetViews>
    <sheetView topLeftCell="A37" workbookViewId="0">
      <selection activeCell="K9" sqref="K9"/>
    </sheetView>
  </sheetViews>
  <sheetFormatPr defaultRowHeight="14.4" x14ac:dyDescent="0.3"/>
  <cols>
    <col min="3" max="3" width="36.44140625" customWidth="1"/>
    <col min="4" max="11" width="13.6640625" customWidth="1"/>
  </cols>
  <sheetData>
    <row r="1" spans="1:11" ht="15" thickBot="1" x14ac:dyDescent="0.35">
      <c r="C1" s="233" t="s">
        <v>56</v>
      </c>
      <c r="D1" s="234"/>
      <c r="E1" s="234"/>
      <c r="F1" s="234"/>
    </row>
    <row r="2" spans="1:11" ht="15" thickBot="1" x14ac:dyDescent="0.35">
      <c r="C2" s="236" t="s">
        <v>57</v>
      </c>
      <c r="D2" s="237"/>
      <c r="E2" s="237"/>
      <c r="F2" s="237"/>
    </row>
    <row r="3" spans="1:11" x14ac:dyDescent="0.3">
      <c r="C3" s="156"/>
      <c r="D3" s="156"/>
      <c r="E3" s="156"/>
      <c r="F3" s="156"/>
    </row>
    <row r="4" spans="1:11" x14ac:dyDescent="0.3">
      <c r="B4" s="156" t="s">
        <v>760</v>
      </c>
      <c r="C4" s="91" t="s">
        <v>761</v>
      </c>
      <c r="D4" s="91"/>
      <c r="E4" s="91"/>
    </row>
    <row r="5" spans="1:11" x14ac:dyDescent="0.3">
      <c r="B5" s="156" t="s">
        <v>762</v>
      </c>
      <c r="C5" s="91" t="s">
        <v>763</v>
      </c>
      <c r="D5" s="91"/>
      <c r="E5" s="91"/>
    </row>
    <row r="6" spans="1:11" x14ac:dyDescent="0.3">
      <c r="B6" s="156" t="s">
        <v>764</v>
      </c>
      <c r="C6" s="91" t="s">
        <v>765</v>
      </c>
      <c r="D6" s="91"/>
      <c r="E6" s="91"/>
    </row>
    <row r="7" spans="1:11" x14ac:dyDescent="0.3">
      <c r="C7" s="156"/>
      <c r="D7" s="156"/>
      <c r="E7" s="156"/>
      <c r="F7" s="156"/>
    </row>
    <row r="8" spans="1:11" x14ac:dyDescent="0.3">
      <c r="A8" s="34" t="s">
        <v>766</v>
      </c>
      <c r="B8" s="34" t="s">
        <v>767</v>
      </c>
      <c r="C8" s="157" t="s">
        <v>62</v>
      </c>
      <c r="D8" s="157" t="s">
        <v>226</v>
      </c>
      <c r="E8" s="157" t="s">
        <v>228</v>
      </c>
      <c r="F8" s="34" t="s">
        <v>768</v>
      </c>
      <c r="G8" s="34" t="s">
        <v>769</v>
      </c>
      <c r="H8" s="34" t="s">
        <v>770</v>
      </c>
      <c r="I8" s="34" t="s">
        <v>771</v>
      </c>
      <c r="J8" s="34" t="s">
        <v>772</v>
      </c>
      <c r="K8" s="34" t="s">
        <v>773</v>
      </c>
    </row>
    <row r="9" spans="1:11" x14ac:dyDescent="0.3">
      <c r="A9" s="81"/>
      <c r="B9" s="81"/>
      <c r="C9" s="161"/>
      <c r="D9" s="159"/>
      <c r="E9" s="159"/>
      <c r="F9" s="160"/>
      <c r="G9" s="160"/>
      <c r="H9" s="160"/>
      <c r="I9" s="160"/>
      <c r="J9" s="158">
        <f>G9-H9+I9</f>
        <v>0</v>
      </c>
      <c r="K9" s="158">
        <f>F9-J9</f>
        <v>0</v>
      </c>
    </row>
    <row r="10" spans="1:11" x14ac:dyDescent="0.3">
      <c r="A10" s="81"/>
      <c r="B10" s="81"/>
      <c r="C10" s="161"/>
      <c r="D10" s="159"/>
      <c r="E10" s="159"/>
      <c r="F10" s="160"/>
      <c r="G10" s="160"/>
      <c r="H10" s="160"/>
      <c r="I10" s="160"/>
      <c r="J10" s="158">
        <f t="shared" ref="J10:J33" si="0">G10-H10+I10</f>
        <v>0</v>
      </c>
      <c r="K10" s="158">
        <f t="shared" ref="K10:K33" si="1">F10-J10</f>
        <v>0</v>
      </c>
    </row>
    <row r="11" spans="1:11" x14ac:dyDescent="0.3">
      <c r="A11" s="81"/>
      <c r="B11" s="81"/>
      <c r="C11" s="161"/>
      <c r="D11" s="159"/>
      <c r="E11" s="159"/>
      <c r="F11" s="160"/>
      <c r="G11" s="160"/>
      <c r="H11" s="160"/>
      <c r="I11" s="160"/>
      <c r="J11" s="158">
        <f t="shared" si="0"/>
        <v>0</v>
      </c>
      <c r="K11" s="158">
        <f t="shared" si="1"/>
        <v>0</v>
      </c>
    </row>
    <row r="12" spans="1:11" x14ac:dyDescent="0.3">
      <c r="A12" s="81"/>
      <c r="B12" s="81"/>
      <c r="C12" s="161"/>
      <c r="D12" s="159"/>
      <c r="E12" s="159"/>
      <c r="F12" s="160"/>
      <c r="G12" s="160"/>
      <c r="H12" s="160"/>
      <c r="I12" s="160"/>
      <c r="J12" s="158">
        <f t="shared" si="0"/>
        <v>0</v>
      </c>
      <c r="K12" s="158">
        <f t="shared" si="1"/>
        <v>0</v>
      </c>
    </row>
    <row r="13" spans="1:11" x14ac:dyDescent="0.3">
      <c r="A13" s="81"/>
      <c r="B13" s="81"/>
      <c r="C13" s="161"/>
      <c r="D13" s="159"/>
      <c r="E13" s="159"/>
      <c r="F13" s="160"/>
      <c r="G13" s="160"/>
      <c r="H13" s="160"/>
      <c r="I13" s="160"/>
      <c r="J13" s="158">
        <f t="shared" si="0"/>
        <v>0</v>
      </c>
      <c r="K13" s="158">
        <f t="shared" si="1"/>
        <v>0</v>
      </c>
    </row>
    <row r="14" spans="1:11" x14ac:dyDescent="0.3">
      <c r="A14" s="81"/>
      <c r="B14" s="81"/>
      <c r="C14" s="161"/>
      <c r="D14" s="159"/>
      <c r="E14" s="159"/>
      <c r="F14" s="160"/>
      <c r="G14" s="160"/>
      <c r="H14" s="160"/>
      <c r="I14" s="160"/>
      <c r="J14" s="158">
        <f t="shared" si="0"/>
        <v>0</v>
      </c>
      <c r="K14" s="158">
        <f t="shared" si="1"/>
        <v>0</v>
      </c>
    </row>
    <row r="15" spans="1:11" x14ac:dyDescent="0.3">
      <c r="A15" s="81"/>
      <c r="B15" s="81"/>
      <c r="C15" s="161"/>
      <c r="D15" s="159"/>
      <c r="E15" s="159"/>
      <c r="F15" s="160"/>
      <c r="G15" s="160"/>
      <c r="H15" s="160"/>
      <c r="I15" s="160"/>
      <c r="J15" s="158">
        <f t="shared" si="0"/>
        <v>0</v>
      </c>
      <c r="K15" s="158">
        <f t="shared" si="1"/>
        <v>0</v>
      </c>
    </row>
    <row r="16" spans="1:11" x14ac:dyDescent="0.3">
      <c r="A16" s="81"/>
      <c r="B16" s="81"/>
      <c r="C16" s="161"/>
      <c r="D16" s="159"/>
      <c r="E16" s="159"/>
      <c r="F16" s="160"/>
      <c r="G16" s="160"/>
      <c r="H16" s="160"/>
      <c r="I16" s="160"/>
      <c r="J16" s="158">
        <f t="shared" si="0"/>
        <v>0</v>
      </c>
      <c r="K16" s="158">
        <f t="shared" si="1"/>
        <v>0</v>
      </c>
    </row>
    <row r="17" spans="1:11" x14ac:dyDescent="0.3">
      <c r="A17" s="81"/>
      <c r="B17" s="81"/>
      <c r="C17" s="161"/>
      <c r="D17" s="159"/>
      <c r="E17" s="159"/>
      <c r="F17" s="160"/>
      <c r="G17" s="160"/>
      <c r="H17" s="160"/>
      <c r="I17" s="160"/>
      <c r="J17" s="158">
        <f t="shared" si="0"/>
        <v>0</v>
      </c>
      <c r="K17" s="158">
        <f t="shared" si="1"/>
        <v>0</v>
      </c>
    </row>
    <row r="18" spans="1:11" x14ac:dyDescent="0.3">
      <c r="A18" s="81"/>
      <c r="B18" s="81"/>
      <c r="C18" s="161"/>
      <c r="D18" s="159"/>
      <c r="E18" s="159"/>
      <c r="F18" s="160"/>
      <c r="G18" s="160"/>
      <c r="H18" s="160"/>
      <c r="I18" s="160"/>
      <c r="J18" s="158">
        <f t="shared" si="0"/>
        <v>0</v>
      </c>
      <c r="K18" s="158">
        <f t="shared" si="1"/>
        <v>0</v>
      </c>
    </row>
    <row r="19" spans="1:11" x14ac:dyDescent="0.3">
      <c r="A19" s="81"/>
      <c r="B19" s="81"/>
      <c r="C19" s="161"/>
      <c r="D19" s="159"/>
      <c r="E19" s="159"/>
      <c r="F19" s="160"/>
      <c r="G19" s="160"/>
      <c r="H19" s="160"/>
      <c r="I19" s="160"/>
      <c r="J19" s="158">
        <f t="shared" si="0"/>
        <v>0</v>
      </c>
      <c r="K19" s="158">
        <f t="shared" si="1"/>
        <v>0</v>
      </c>
    </row>
    <row r="20" spans="1:11" x14ac:dyDescent="0.3">
      <c r="A20" s="81"/>
      <c r="B20" s="81"/>
      <c r="C20" s="161"/>
      <c r="D20" s="159"/>
      <c r="E20" s="159"/>
      <c r="F20" s="160"/>
      <c r="G20" s="160"/>
      <c r="H20" s="160"/>
      <c r="I20" s="160"/>
      <c r="J20" s="158">
        <f t="shared" si="0"/>
        <v>0</v>
      </c>
      <c r="K20" s="158">
        <f t="shared" si="1"/>
        <v>0</v>
      </c>
    </row>
    <row r="21" spans="1:11" x14ac:dyDescent="0.3">
      <c r="A21" s="81"/>
      <c r="B21" s="81"/>
      <c r="C21" s="161"/>
      <c r="D21" s="159"/>
      <c r="E21" s="159"/>
      <c r="F21" s="160"/>
      <c r="G21" s="160"/>
      <c r="H21" s="160"/>
      <c r="I21" s="160"/>
      <c r="J21" s="158">
        <f t="shared" si="0"/>
        <v>0</v>
      </c>
      <c r="K21" s="158">
        <f t="shared" si="1"/>
        <v>0</v>
      </c>
    </row>
    <row r="22" spans="1:11" x14ac:dyDescent="0.3">
      <c r="A22" s="81"/>
      <c r="B22" s="81"/>
      <c r="C22" s="161"/>
      <c r="D22" s="159"/>
      <c r="E22" s="159"/>
      <c r="F22" s="160"/>
      <c r="G22" s="160"/>
      <c r="H22" s="160"/>
      <c r="I22" s="160"/>
      <c r="J22" s="158">
        <f t="shared" si="0"/>
        <v>0</v>
      </c>
      <c r="K22" s="158">
        <f t="shared" si="1"/>
        <v>0</v>
      </c>
    </row>
    <row r="23" spans="1:11" x14ac:dyDescent="0.3">
      <c r="A23" s="81"/>
      <c r="B23" s="81"/>
      <c r="C23" s="161"/>
      <c r="D23" s="159"/>
      <c r="E23" s="159"/>
      <c r="F23" s="160"/>
      <c r="G23" s="160"/>
      <c r="H23" s="160"/>
      <c r="I23" s="160"/>
      <c r="J23" s="158">
        <f t="shared" si="0"/>
        <v>0</v>
      </c>
      <c r="K23" s="158">
        <f t="shared" si="1"/>
        <v>0</v>
      </c>
    </row>
    <row r="24" spans="1:11" x14ac:dyDescent="0.3">
      <c r="A24" s="81"/>
      <c r="B24" s="81"/>
      <c r="C24" s="161"/>
      <c r="D24" s="159"/>
      <c r="E24" s="159"/>
      <c r="F24" s="160"/>
      <c r="G24" s="160"/>
      <c r="H24" s="160"/>
      <c r="I24" s="160"/>
      <c r="J24" s="158">
        <f t="shared" si="0"/>
        <v>0</v>
      </c>
      <c r="K24" s="158">
        <f t="shared" si="1"/>
        <v>0</v>
      </c>
    </row>
    <row r="25" spans="1:11" x14ac:dyDescent="0.3">
      <c r="A25" s="81"/>
      <c r="B25" s="81"/>
      <c r="C25" s="161"/>
      <c r="D25" s="159"/>
      <c r="E25" s="159"/>
      <c r="F25" s="160"/>
      <c r="G25" s="160"/>
      <c r="H25" s="160"/>
      <c r="I25" s="160"/>
      <c r="J25" s="158">
        <f t="shared" si="0"/>
        <v>0</v>
      </c>
      <c r="K25" s="158">
        <f t="shared" si="1"/>
        <v>0</v>
      </c>
    </row>
    <row r="26" spans="1:11" x14ac:dyDescent="0.3">
      <c r="A26" s="81"/>
      <c r="B26" s="81"/>
      <c r="C26" s="161"/>
      <c r="D26" s="159"/>
      <c r="E26" s="159"/>
      <c r="F26" s="160"/>
      <c r="G26" s="160"/>
      <c r="H26" s="160"/>
      <c r="I26" s="160"/>
      <c r="J26" s="158">
        <f t="shared" si="0"/>
        <v>0</v>
      </c>
      <c r="K26" s="158">
        <f t="shared" si="1"/>
        <v>0</v>
      </c>
    </row>
    <row r="27" spans="1:11" x14ac:dyDescent="0.3">
      <c r="A27" s="81"/>
      <c r="B27" s="81"/>
      <c r="C27" s="161"/>
      <c r="D27" s="159"/>
      <c r="E27" s="159"/>
      <c r="F27" s="160"/>
      <c r="G27" s="160"/>
      <c r="H27" s="160"/>
      <c r="I27" s="160"/>
      <c r="J27" s="158">
        <f t="shared" si="0"/>
        <v>0</v>
      </c>
      <c r="K27" s="158">
        <f t="shared" si="1"/>
        <v>0</v>
      </c>
    </row>
    <row r="28" spans="1:11" x14ac:dyDescent="0.3">
      <c r="A28" s="81"/>
      <c r="B28" s="81"/>
      <c r="C28" s="161"/>
      <c r="D28" s="159"/>
      <c r="E28" s="159"/>
      <c r="F28" s="160"/>
      <c r="G28" s="160"/>
      <c r="H28" s="160"/>
      <c r="I28" s="160"/>
      <c r="J28" s="158">
        <f t="shared" si="0"/>
        <v>0</v>
      </c>
      <c r="K28" s="158">
        <f t="shared" si="1"/>
        <v>0</v>
      </c>
    </row>
    <row r="29" spans="1:11" x14ac:dyDescent="0.3">
      <c r="A29" s="81"/>
      <c r="B29" s="81"/>
      <c r="C29" s="161"/>
      <c r="D29" s="159"/>
      <c r="E29" s="159"/>
      <c r="F29" s="160"/>
      <c r="G29" s="160"/>
      <c r="H29" s="160"/>
      <c r="I29" s="160"/>
      <c r="J29" s="158">
        <f t="shared" si="0"/>
        <v>0</v>
      </c>
      <c r="K29" s="158">
        <f t="shared" si="1"/>
        <v>0</v>
      </c>
    </row>
    <row r="30" spans="1:11" x14ac:dyDescent="0.3">
      <c r="A30" s="81"/>
      <c r="B30" s="81"/>
      <c r="C30" s="161"/>
      <c r="D30" s="159"/>
      <c r="E30" s="159"/>
      <c r="F30" s="160"/>
      <c r="G30" s="160"/>
      <c r="H30" s="160"/>
      <c r="I30" s="160"/>
      <c r="J30" s="158">
        <f t="shared" si="0"/>
        <v>0</v>
      </c>
      <c r="K30" s="158">
        <f t="shared" si="1"/>
        <v>0</v>
      </c>
    </row>
    <row r="31" spans="1:11" x14ac:dyDescent="0.3">
      <c r="A31" s="81"/>
      <c r="B31" s="81"/>
      <c r="C31" s="161"/>
      <c r="D31" s="159"/>
      <c r="E31" s="159"/>
      <c r="F31" s="160"/>
      <c r="G31" s="160"/>
      <c r="H31" s="160"/>
      <c r="I31" s="160"/>
      <c r="J31" s="158">
        <f t="shared" si="0"/>
        <v>0</v>
      </c>
      <c r="K31" s="158">
        <f t="shared" si="1"/>
        <v>0</v>
      </c>
    </row>
    <row r="32" spans="1:11" x14ac:dyDescent="0.3">
      <c r="A32" s="81"/>
      <c r="B32" s="81"/>
      <c r="C32" s="161"/>
      <c r="D32" s="159"/>
      <c r="E32" s="159"/>
      <c r="F32" s="160"/>
      <c r="G32" s="160"/>
      <c r="H32" s="160"/>
      <c r="I32" s="160"/>
      <c r="J32" s="158">
        <f t="shared" si="0"/>
        <v>0</v>
      </c>
      <c r="K32" s="158">
        <f t="shared" si="1"/>
        <v>0</v>
      </c>
    </row>
    <row r="33" spans="1:11" x14ac:dyDescent="0.3">
      <c r="A33" s="81"/>
      <c r="B33" s="81"/>
      <c r="C33" s="161"/>
      <c r="D33" s="159"/>
      <c r="E33" s="159"/>
      <c r="F33" s="160"/>
      <c r="G33" s="160"/>
      <c r="H33" s="160"/>
      <c r="I33" s="160"/>
      <c r="J33" s="158">
        <f t="shared" si="0"/>
        <v>0</v>
      </c>
      <c r="K33" s="158">
        <f t="shared" si="1"/>
        <v>0</v>
      </c>
    </row>
    <row r="34" spans="1:11" x14ac:dyDescent="0.3">
      <c r="A34" s="57" t="s">
        <v>0</v>
      </c>
      <c r="B34" s="81" t="s">
        <v>760</v>
      </c>
      <c r="C34" s="162" t="s">
        <v>774</v>
      </c>
      <c r="D34" s="60"/>
      <c r="E34" s="60"/>
      <c r="F34" s="60"/>
      <c r="G34" s="60"/>
      <c r="H34" s="60"/>
      <c r="I34" s="60"/>
      <c r="J34" s="60"/>
      <c r="K34" s="158">
        <f>SUMIF('Schedule E -K-1 Summary'!E12:N12,"T",'Schedule E -K-1 Summary'!E29:N29)</f>
        <v>0</v>
      </c>
    </row>
    <row r="35" spans="1:11" x14ac:dyDescent="0.3">
      <c r="A35" s="57" t="s">
        <v>2</v>
      </c>
      <c r="B35" s="81" t="s">
        <v>760</v>
      </c>
      <c r="C35" s="162" t="s">
        <v>774</v>
      </c>
      <c r="D35" s="60"/>
      <c r="E35" s="60"/>
      <c r="F35" s="60"/>
      <c r="G35" s="60"/>
      <c r="H35" s="60"/>
      <c r="I35" s="60"/>
      <c r="J35" s="60"/>
      <c r="K35" s="158">
        <f>SUMIF('Schedule E -K-1 Summary'!E12:N12,"S",'Schedule E -K-1 Summary'!E29:N29)</f>
        <v>0</v>
      </c>
    </row>
    <row r="37" spans="1:11" x14ac:dyDescent="0.3">
      <c r="D37" s="34" t="s">
        <v>0</v>
      </c>
      <c r="E37" s="34" t="s">
        <v>2</v>
      </c>
      <c r="F37" s="34" t="s">
        <v>63</v>
      </c>
    </row>
    <row r="38" spans="1:11" x14ac:dyDescent="0.3">
      <c r="C38" t="s">
        <v>775</v>
      </c>
      <c r="D38" s="166">
        <f>SUMIFS(K9:K35,A9:A35,"T",B9:B35,"Part I")+0.5*SUMIFS(K9:K35,A9:A35,"J",B9:B35,"Part I")</f>
        <v>0</v>
      </c>
      <c r="E38" s="166">
        <f>SUMIFS(K9:K35,A9:A35,"S",B9:B35,"Part I")+0.5*SUMIFS(K9:K35,A9:A35,"J",B9:B35,"Part I")</f>
        <v>0</v>
      </c>
      <c r="F38" s="158">
        <f t="shared" ref="F38:F51" si="2">D38+E38</f>
        <v>0</v>
      </c>
    </row>
    <row r="39" spans="1:11" x14ac:dyDescent="0.3">
      <c r="C39" t="s">
        <v>776</v>
      </c>
      <c r="D39" s="166">
        <f>D51</f>
        <v>0</v>
      </c>
      <c r="E39" s="166">
        <f>E51</f>
        <v>0</v>
      </c>
      <c r="F39" s="158">
        <f t="shared" si="2"/>
        <v>0</v>
      </c>
    </row>
    <row r="40" spans="1:11" x14ac:dyDescent="0.3">
      <c r="C40" t="s">
        <v>777</v>
      </c>
      <c r="D40" s="160"/>
      <c r="E40" s="160"/>
      <c r="F40" s="163">
        <f t="shared" si="2"/>
        <v>0</v>
      </c>
    </row>
    <row r="41" spans="1:11" x14ac:dyDescent="0.3">
      <c r="C41" t="s">
        <v>778</v>
      </c>
      <c r="D41" s="158">
        <f>IF(D38+D39-D40&gt;0,D38+D39-D40,0)</f>
        <v>0</v>
      </c>
      <c r="E41" s="158">
        <f>IF(E38+E39-E40&gt;0,E38+E39-E40,0)</f>
        <v>0</v>
      </c>
      <c r="F41" s="158">
        <f>IF(F38+F39-F40&gt;0,F38+F39-F40,0)</f>
        <v>0</v>
      </c>
    </row>
    <row r="42" spans="1:11" x14ac:dyDescent="0.3">
      <c r="C42" t="s">
        <v>779</v>
      </c>
      <c r="D42" s="158">
        <f>IF(D38+D39-D40&lt;0,D38+D39-D40,0)</f>
        <v>0</v>
      </c>
      <c r="E42" s="158">
        <f t="shared" ref="E42:F42" si="3">IF(E38+E39-E40&lt;0,E38+E39-E40,0)</f>
        <v>0</v>
      </c>
      <c r="F42" s="158">
        <f t="shared" si="3"/>
        <v>0</v>
      </c>
    </row>
    <row r="43" spans="1:11" x14ac:dyDescent="0.3">
      <c r="D43" s="166"/>
      <c r="E43" s="166"/>
      <c r="F43" s="165"/>
    </row>
    <row r="44" spans="1:11" x14ac:dyDescent="0.3">
      <c r="C44" t="s">
        <v>780</v>
      </c>
      <c r="D44" s="166">
        <f>SUMIFS(K9:K35,A9:A35,"T",B9:B35,"Part II")+0.5*SUMIFS(K9:K35,A9:A35,"J",B9:B35,"Part II")</f>
        <v>0</v>
      </c>
      <c r="E44" s="166">
        <f>SUMIFS(K9:K35,A9:A35,"S",B9:B35,"Part II")+0.5*SUMIFS(K9:K35,A9:A35,"J",B9:B35,"Part II")</f>
        <v>0</v>
      </c>
      <c r="F44" s="164">
        <f t="shared" si="2"/>
        <v>0</v>
      </c>
    </row>
    <row r="45" spans="1:11" x14ac:dyDescent="0.3">
      <c r="C45" t="s">
        <v>781</v>
      </c>
      <c r="D45" s="166">
        <f>D42+D40</f>
        <v>0</v>
      </c>
      <c r="E45" s="166">
        <f>E42+E40</f>
        <v>0</v>
      </c>
      <c r="F45" s="158">
        <f t="shared" si="2"/>
        <v>0</v>
      </c>
    </row>
    <row r="46" spans="1:11" x14ac:dyDescent="0.3">
      <c r="C46" t="s">
        <v>776</v>
      </c>
      <c r="D46" s="166">
        <f>D50</f>
        <v>0</v>
      </c>
      <c r="E46" s="166">
        <f>E50</f>
        <v>0</v>
      </c>
      <c r="F46" s="158">
        <f t="shared" si="2"/>
        <v>0</v>
      </c>
    </row>
    <row r="47" spans="1:11" x14ac:dyDescent="0.3">
      <c r="C47" t="s">
        <v>782</v>
      </c>
      <c r="D47" s="158">
        <f>D44+D45+D46</f>
        <v>0</v>
      </c>
      <c r="E47" s="158">
        <f t="shared" ref="E47:F47" si="4">E44+E45+E46</f>
        <v>0</v>
      </c>
      <c r="F47" s="158">
        <f t="shared" si="4"/>
        <v>0</v>
      </c>
    </row>
    <row r="48" spans="1:11" x14ac:dyDescent="0.3">
      <c r="D48" s="166"/>
      <c r="E48" s="166"/>
      <c r="F48" s="165"/>
    </row>
    <row r="49" spans="3:6" x14ac:dyDescent="0.3">
      <c r="C49" t="s">
        <v>783</v>
      </c>
      <c r="D49" s="166">
        <f>SUMIFS(K9:K35,A9:A35,"T",B9:B35,"Part III")+0.5*SUMIFS(K9:K35,A9:A35,"J",B9:B35,"Part III")</f>
        <v>0</v>
      </c>
      <c r="E49" s="166">
        <f>SUMIFS(K9:K35,A9:A35,"S",B9:B35,"Part III")+0.5*SUMIFS(K9:K35,A9:A35,"J",B9:B35,"Part III")</f>
        <v>0</v>
      </c>
      <c r="F49" s="158">
        <f t="shared" si="2"/>
        <v>0</v>
      </c>
    </row>
    <row r="50" spans="3:6" x14ac:dyDescent="0.3">
      <c r="C50" t="s">
        <v>784</v>
      </c>
      <c r="D50" s="160"/>
      <c r="E50" s="160"/>
      <c r="F50" s="158">
        <f>D50+E50</f>
        <v>0</v>
      </c>
    </row>
    <row r="51" spans="3:6" x14ac:dyDescent="0.3">
      <c r="C51" t="s">
        <v>785</v>
      </c>
      <c r="D51" s="158">
        <f>D49-D50</f>
        <v>0</v>
      </c>
      <c r="E51" s="158">
        <f>E49-E50</f>
        <v>0</v>
      </c>
      <c r="F51" s="158">
        <f t="shared" si="2"/>
        <v>0</v>
      </c>
    </row>
  </sheetData>
  <mergeCells count="2">
    <mergeCell ref="C1:F1"/>
    <mergeCell ref="C2:F2"/>
  </mergeCells>
  <dataValidations count="1">
    <dataValidation type="list" allowBlank="1" showInputMessage="1" showErrorMessage="1" sqref="B9:B35" xr:uid="{00000000-0002-0000-0B00-000000000000}">
      <formula1>$B$4:$B$6</formula1>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Lists!$A$1:$A$3</xm:f>
          </x14:formula1>
          <xm:sqref>A9:A33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Q55"/>
  <sheetViews>
    <sheetView workbookViewId="0">
      <selection activeCell="C1" sqref="C1:D2"/>
    </sheetView>
  </sheetViews>
  <sheetFormatPr defaultColWidth="8.88671875" defaultRowHeight="14.4" x14ac:dyDescent="0.3"/>
  <cols>
    <col min="1" max="1" width="6.6640625" customWidth="1"/>
    <col min="2" max="2" width="7.109375" customWidth="1"/>
    <col min="3" max="3" width="41.44140625" customWidth="1"/>
    <col min="4" max="4" width="10.5546875" bestFit="1" customWidth="1"/>
    <col min="5" max="5" width="2.33203125" customWidth="1"/>
    <col min="6" max="6" width="9.109375" bestFit="1" customWidth="1"/>
  </cols>
  <sheetData>
    <row r="1" spans="1:17" ht="15" thickBot="1" x14ac:dyDescent="0.35">
      <c r="C1" s="233" t="s">
        <v>56</v>
      </c>
      <c r="D1" s="234"/>
    </row>
    <row r="2" spans="1:17" ht="15" thickBot="1" x14ac:dyDescent="0.35">
      <c r="C2" s="236" t="s">
        <v>57</v>
      </c>
      <c r="D2" s="237"/>
    </row>
    <row r="4" spans="1:17" x14ac:dyDescent="0.3">
      <c r="A4" s="81"/>
      <c r="B4" s="91" t="s">
        <v>543</v>
      </c>
    </row>
    <row r="5" spans="1:17" x14ac:dyDescent="0.3">
      <c r="A5" s="151" t="s">
        <v>786</v>
      </c>
      <c r="C5" s="59"/>
    </row>
    <row r="6" spans="1:17" s="91" customFormat="1" x14ac:dyDescent="0.3">
      <c r="A6" s="91" t="s">
        <v>701</v>
      </c>
      <c r="B6" s="91" t="s">
        <v>62</v>
      </c>
      <c r="D6" s="91" t="s">
        <v>702</v>
      </c>
      <c r="F6" s="34" t="s">
        <v>703</v>
      </c>
      <c r="G6" s="34" t="s">
        <v>704</v>
      </c>
      <c r="H6" s="34" t="s">
        <v>705</v>
      </c>
      <c r="I6" s="34" t="s">
        <v>706</v>
      </c>
      <c r="J6" s="34" t="s">
        <v>707</v>
      </c>
      <c r="K6" s="34" t="s">
        <v>708</v>
      </c>
      <c r="L6" s="34" t="s">
        <v>709</v>
      </c>
      <c r="M6" s="34" t="s">
        <v>710</v>
      </c>
      <c r="N6" s="34" t="s">
        <v>711</v>
      </c>
      <c r="O6" s="34" t="s">
        <v>712</v>
      </c>
      <c r="P6" s="34" t="s">
        <v>713</v>
      </c>
      <c r="Q6" s="34" t="s">
        <v>714</v>
      </c>
    </row>
    <row r="7" spans="1:17" x14ac:dyDescent="0.3">
      <c r="A7" s="3">
        <v>3</v>
      </c>
      <c r="B7" t="s">
        <v>787</v>
      </c>
      <c r="D7" s="59"/>
      <c r="F7" s="59"/>
      <c r="G7" s="59"/>
      <c r="H7" s="59"/>
      <c r="I7" s="59"/>
      <c r="J7" s="59"/>
      <c r="K7" s="59"/>
      <c r="L7" s="59"/>
      <c r="M7" s="59"/>
      <c r="N7" s="59"/>
      <c r="O7" s="59"/>
      <c r="P7" s="59"/>
      <c r="Q7" s="149">
        <f>SUM(F7:P7)</f>
        <v>0</v>
      </c>
    </row>
    <row r="8" spans="1:17" x14ac:dyDescent="0.3">
      <c r="A8" s="3">
        <v>4</v>
      </c>
      <c r="B8" t="s">
        <v>788</v>
      </c>
      <c r="D8" s="59"/>
      <c r="F8" s="59"/>
      <c r="G8" s="59"/>
      <c r="H8" s="59"/>
      <c r="I8" s="59"/>
      <c r="J8" s="59"/>
      <c r="K8" s="59"/>
      <c r="L8" s="59"/>
      <c r="M8" s="59"/>
      <c r="N8" s="59"/>
      <c r="O8" s="59"/>
      <c r="P8" s="59"/>
      <c r="Q8" s="149">
        <f t="shared" ref="Q8:Q38" si="0">SUM(F8:P8)</f>
        <v>0</v>
      </c>
    </row>
    <row r="9" spans="1:17" x14ac:dyDescent="0.3">
      <c r="A9" s="3">
        <v>5</v>
      </c>
      <c r="B9" t="s">
        <v>725</v>
      </c>
      <c r="D9" s="59"/>
      <c r="F9" s="59"/>
      <c r="G9" s="59"/>
      <c r="H9" s="59"/>
      <c r="I9" s="59"/>
      <c r="J9" s="59"/>
      <c r="K9" s="59"/>
      <c r="L9" s="59"/>
      <c r="M9" s="59"/>
      <c r="N9" s="59"/>
      <c r="O9" s="59"/>
      <c r="P9" s="59"/>
      <c r="Q9" s="149">
        <f t="shared" si="0"/>
        <v>0</v>
      </c>
    </row>
    <row r="10" spans="1:17" x14ac:dyDescent="0.3">
      <c r="A10" s="3">
        <v>6</v>
      </c>
      <c r="B10" t="s">
        <v>789</v>
      </c>
      <c r="D10" s="59"/>
      <c r="F10" s="59"/>
      <c r="G10" s="59"/>
      <c r="H10" s="59"/>
      <c r="I10" s="59"/>
      <c r="J10" s="59"/>
      <c r="K10" s="59"/>
      <c r="L10" s="59"/>
      <c r="M10" s="59"/>
      <c r="N10" s="59"/>
      <c r="O10" s="59"/>
      <c r="P10" s="59"/>
      <c r="Q10" s="149">
        <f t="shared" si="0"/>
        <v>0</v>
      </c>
    </row>
    <row r="11" spans="1:17" x14ac:dyDescent="0.3">
      <c r="A11" s="3">
        <v>7</v>
      </c>
      <c r="B11" t="s">
        <v>790</v>
      </c>
      <c r="D11" s="59"/>
      <c r="F11" s="59"/>
      <c r="G11" s="59"/>
      <c r="H11" s="59"/>
      <c r="I11" s="59"/>
      <c r="J11" s="59"/>
      <c r="K11" s="59"/>
      <c r="L11" s="59"/>
      <c r="M11" s="59"/>
      <c r="N11" s="59"/>
      <c r="O11" s="59"/>
      <c r="P11" s="59"/>
      <c r="Q11" s="149">
        <f t="shared" si="0"/>
        <v>0</v>
      </c>
    </row>
    <row r="12" spans="1:17" x14ac:dyDescent="0.3">
      <c r="A12" s="3">
        <v>8</v>
      </c>
      <c r="B12" t="s">
        <v>791</v>
      </c>
      <c r="D12" s="59"/>
      <c r="F12" s="59"/>
      <c r="G12" s="59"/>
      <c r="H12" s="59"/>
      <c r="I12" s="59"/>
      <c r="J12" s="59"/>
      <c r="K12" s="59"/>
      <c r="L12" s="59"/>
      <c r="M12" s="59"/>
      <c r="N12" s="59"/>
      <c r="O12" s="59"/>
      <c r="P12" s="59"/>
      <c r="Q12" s="149">
        <f t="shared" si="0"/>
        <v>0</v>
      </c>
    </row>
    <row r="13" spans="1:17" x14ac:dyDescent="0.3">
      <c r="A13" s="3">
        <v>9</v>
      </c>
      <c r="B13" t="s">
        <v>732</v>
      </c>
      <c r="D13" s="59"/>
      <c r="F13" s="59"/>
      <c r="G13" s="59"/>
      <c r="H13" s="59"/>
      <c r="I13" s="59"/>
      <c r="J13" s="59"/>
      <c r="K13" s="59"/>
      <c r="L13" s="59"/>
      <c r="M13" s="59"/>
      <c r="N13" s="59"/>
      <c r="O13" s="59"/>
      <c r="P13" s="59"/>
      <c r="Q13" s="149">
        <f t="shared" si="0"/>
        <v>0</v>
      </c>
    </row>
    <row r="14" spans="1:17" x14ac:dyDescent="0.3">
      <c r="A14" s="3">
        <v>10</v>
      </c>
      <c r="B14" t="s">
        <v>792</v>
      </c>
      <c r="D14" s="59"/>
      <c r="F14" s="59"/>
      <c r="G14" s="59"/>
      <c r="H14" s="59"/>
      <c r="I14" s="59"/>
      <c r="J14" s="59"/>
      <c r="K14" s="59"/>
      <c r="L14" s="59"/>
      <c r="M14" s="59"/>
      <c r="N14" s="59"/>
      <c r="O14" s="59"/>
      <c r="P14" s="59"/>
      <c r="Q14" s="149">
        <f t="shared" si="0"/>
        <v>0</v>
      </c>
    </row>
    <row r="15" spans="1:17" x14ac:dyDescent="0.3">
      <c r="A15" s="3">
        <v>11</v>
      </c>
      <c r="B15" t="s">
        <v>793</v>
      </c>
      <c r="D15" s="59"/>
      <c r="F15" s="59"/>
      <c r="G15" s="59"/>
      <c r="H15" s="59"/>
      <c r="I15" s="59"/>
      <c r="J15" s="59"/>
      <c r="K15" s="59"/>
      <c r="L15" s="59"/>
      <c r="M15" s="59"/>
      <c r="N15" s="59"/>
      <c r="O15" s="59"/>
      <c r="P15" s="59"/>
      <c r="Q15" s="149">
        <f t="shared" si="0"/>
        <v>0</v>
      </c>
    </row>
    <row r="16" spans="1:17" x14ac:dyDescent="0.3">
      <c r="A16" s="3">
        <v>12</v>
      </c>
      <c r="B16" t="s">
        <v>733</v>
      </c>
      <c r="D16" s="59"/>
      <c r="F16" s="59"/>
      <c r="G16" s="59"/>
      <c r="H16" s="59"/>
      <c r="I16" s="59"/>
      <c r="J16" s="59"/>
      <c r="K16" s="59"/>
      <c r="L16" s="59"/>
      <c r="M16" s="59"/>
      <c r="N16" s="59"/>
      <c r="O16" s="59"/>
      <c r="P16" s="59"/>
      <c r="Q16" s="149">
        <f t="shared" si="0"/>
        <v>0</v>
      </c>
    </row>
    <row r="17" spans="1:17" x14ac:dyDescent="0.3">
      <c r="A17" s="3">
        <v>13</v>
      </c>
      <c r="B17" t="s">
        <v>734</v>
      </c>
      <c r="D17" s="59"/>
      <c r="F17" s="59"/>
      <c r="G17" s="59"/>
      <c r="H17" s="59"/>
      <c r="I17" s="59"/>
      <c r="J17" s="59"/>
      <c r="K17" s="59"/>
      <c r="L17" s="59"/>
      <c r="M17" s="59"/>
      <c r="N17" s="59"/>
      <c r="O17" s="59"/>
      <c r="P17" s="59"/>
      <c r="Q17" s="149">
        <f t="shared" si="0"/>
        <v>0</v>
      </c>
    </row>
    <row r="18" spans="1:17" x14ac:dyDescent="0.3">
      <c r="A18" s="3">
        <v>14</v>
      </c>
      <c r="B18" t="s">
        <v>794</v>
      </c>
      <c r="D18" s="59"/>
      <c r="F18" s="59"/>
      <c r="G18" s="59"/>
      <c r="H18" s="59"/>
      <c r="I18" s="59"/>
      <c r="J18" s="59"/>
      <c r="K18" s="59"/>
      <c r="L18" s="59"/>
      <c r="M18" s="59"/>
      <c r="N18" s="59"/>
      <c r="O18" s="59"/>
      <c r="P18" s="59"/>
      <c r="Q18" s="149">
        <f t="shared" si="0"/>
        <v>0</v>
      </c>
    </row>
    <row r="19" spans="1:17" x14ac:dyDescent="0.3">
      <c r="A19" s="3">
        <v>15</v>
      </c>
      <c r="B19" t="s">
        <v>743</v>
      </c>
      <c r="D19" s="59"/>
      <c r="F19" s="59"/>
      <c r="G19" s="59"/>
      <c r="H19" s="59"/>
      <c r="I19" s="59"/>
      <c r="J19" s="59"/>
      <c r="K19" s="59"/>
      <c r="L19" s="59"/>
      <c r="M19" s="59"/>
      <c r="N19" s="59"/>
      <c r="O19" s="59"/>
      <c r="P19" s="59"/>
      <c r="Q19" s="149">
        <f t="shared" si="0"/>
        <v>0</v>
      </c>
    </row>
    <row r="20" spans="1:17" x14ac:dyDescent="0.3">
      <c r="A20" s="3">
        <v>16</v>
      </c>
      <c r="B20" t="s">
        <v>795</v>
      </c>
      <c r="D20" s="59"/>
      <c r="F20" s="59"/>
      <c r="G20" s="59"/>
      <c r="H20" s="59"/>
      <c r="I20" s="59"/>
      <c r="J20" s="59"/>
      <c r="K20" s="59"/>
      <c r="L20" s="59"/>
      <c r="M20" s="59"/>
      <c r="N20" s="59"/>
      <c r="O20" s="59"/>
      <c r="P20" s="59"/>
      <c r="Q20" s="149">
        <f t="shared" si="0"/>
        <v>0</v>
      </c>
    </row>
    <row r="21" spans="1:17" x14ac:dyDescent="0.3">
      <c r="A21" s="3">
        <v>17</v>
      </c>
      <c r="B21" t="s">
        <v>749</v>
      </c>
      <c r="D21" s="59"/>
      <c r="F21" s="59"/>
      <c r="G21" s="59"/>
      <c r="H21" s="59"/>
      <c r="I21" s="59"/>
      <c r="J21" s="59"/>
      <c r="K21" s="59"/>
      <c r="L21" s="59"/>
      <c r="M21" s="59"/>
      <c r="N21" s="59"/>
      <c r="O21" s="59"/>
      <c r="P21" s="59"/>
      <c r="Q21" s="149">
        <f t="shared" si="0"/>
        <v>0</v>
      </c>
    </row>
    <row r="22" spans="1:17" x14ac:dyDescent="0.3">
      <c r="A22" s="3">
        <v>18</v>
      </c>
      <c r="B22" t="s">
        <v>796</v>
      </c>
      <c r="D22" s="59"/>
      <c r="F22" s="59"/>
      <c r="G22" s="59"/>
      <c r="H22" s="59"/>
      <c r="I22" s="59"/>
      <c r="J22" s="59"/>
      <c r="K22" s="59"/>
      <c r="L22" s="59"/>
      <c r="M22" s="59"/>
      <c r="N22" s="59"/>
      <c r="O22" s="59"/>
      <c r="P22" s="59"/>
      <c r="Q22" s="149">
        <f t="shared" si="0"/>
        <v>0</v>
      </c>
    </row>
    <row r="23" spans="1:17" x14ac:dyDescent="0.3">
      <c r="A23" s="3">
        <v>19</v>
      </c>
      <c r="B23" t="s">
        <v>752</v>
      </c>
      <c r="D23" s="59"/>
      <c r="F23" s="59"/>
      <c r="G23" s="59"/>
      <c r="H23" s="59"/>
      <c r="I23" s="59"/>
      <c r="J23" s="59"/>
      <c r="K23" s="59"/>
      <c r="L23" s="59"/>
      <c r="M23" s="59"/>
      <c r="N23" s="59"/>
      <c r="O23" s="59"/>
      <c r="P23" s="59"/>
      <c r="Q23" s="149">
        <f t="shared" si="0"/>
        <v>0</v>
      </c>
    </row>
    <row r="24" spans="1:17" x14ac:dyDescent="0.3">
      <c r="A24" s="3"/>
      <c r="C24" s="59"/>
      <c r="D24" s="59"/>
      <c r="F24" s="59"/>
      <c r="G24" s="59"/>
      <c r="H24" s="59"/>
      <c r="I24" s="59"/>
      <c r="J24" s="59"/>
      <c r="K24" s="59"/>
      <c r="L24" s="59"/>
      <c r="M24" s="59"/>
      <c r="N24" s="59"/>
      <c r="O24" s="59"/>
      <c r="P24" s="59"/>
      <c r="Q24" s="149">
        <f t="shared" si="0"/>
        <v>0</v>
      </c>
    </row>
    <row r="25" spans="1:17" x14ac:dyDescent="0.3">
      <c r="C25" s="59"/>
      <c r="D25" s="59"/>
      <c r="F25" s="59"/>
      <c r="G25" s="59"/>
      <c r="H25" s="59"/>
      <c r="I25" s="59"/>
      <c r="J25" s="59"/>
      <c r="K25" s="59"/>
      <c r="L25" s="59"/>
      <c r="M25" s="59"/>
      <c r="N25" s="59"/>
      <c r="O25" s="59"/>
      <c r="P25" s="59"/>
      <c r="Q25" s="149">
        <f t="shared" si="0"/>
        <v>0</v>
      </c>
    </row>
    <row r="26" spans="1:17" x14ac:dyDescent="0.3">
      <c r="C26" s="59"/>
      <c r="D26" s="59"/>
      <c r="F26" s="59"/>
      <c r="G26" s="59"/>
      <c r="H26" s="59"/>
      <c r="I26" s="59"/>
      <c r="J26" s="59"/>
      <c r="K26" s="59"/>
      <c r="L26" s="59"/>
      <c r="M26" s="59"/>
      <c r="N26" s="59"/>
      <c r="O26" s="59"/>
      <c r="P26" s="59"/>
      <c r="Q26" s="149">
        <f t="shared" si="0"/>
        <v>0</v>
      </c>
    </row>
    <row r="27" spans="1:17" x14ac:dyDescent="0.3">
      <c r="C27" s="59"/>
      <c r="D27" s="59"/>
      <c r="F27" s="59"/>
      <c r="G27" s="59"/>
      <c r="H27" s="59"/>
      <c r="I27" s="59"/>
      <c r="J27" s="59"/>
      <c r="K27" s="59"/>
      <c r="L27" s="59"/>
      <c r="M27" s="59"/>
      <c r="N27" s="59"/>
      <c r="O27" s="59"/>
      <c r="P27" s="59"/>
      <c r="Q27" s="149">
        <f t="shared" si="0"/>
        <v>0</v>
      </c>
    </row>
    <row r="28" spans="1:17" x14ac:dyDescent="0.3">
      <c r="C28" s="59"/>
      <c r="D28" s="59"/>
      <c r="F28" s="59"/>
      <c r="G28" s="59"/>
      <c r="H28" s="59"/>
      <c r="I28" s="59"/>
      <c r="J28" s="59"/>
      <c r="K28" s="59"/>
      <c r="L28" s="59"/>
      <c r="M28" s="59"/>
      <c r="N28" s="59"/>
      <c r="O28" s="59"/>
      <c r="P28" s="59"/>
      <c r="Q28" s="149">
        <f t="shared" si="0"/>
        <v>0</v>
      </c>
    </row>
    <row r="29" spans="1:17" x14ac:dyDescent="0.3">
      <c r="C29" s="59"/>
      <c r="D29" s="59"/>
      <c r="F29" s="59"/>
      <c r="G29" s="59"/>
      <c r="H29" s="59"/>
      <c r="I29" s="59"/>
      <c r="J29" s="59"/>
      <c r="K29" s="59"/>
      <c r="L29" s="59"/>
      <c r="M29" s="59"/>
      <c r="N29" s="59"/>
      <c r="O29" s="59"/>
      <c r="P29" s="59"/>
      <c r="Q29" s="149">
        <f t="shared" si="0"/>
        <v>0</v>
      </c>
    </row>
    <row r="30" spans="1:17" x14ac:dyDescent="0.3">
      <c r="C30" s="59"/>
      <c r="D30" s="59"/>
      <c r="F30" s="59"/>
      <c r="G30" s="59"/>
      <c r="H30" s="59"/>
      <c r="I30" s="59"/>
      <c r="J30" s="59"/>
      <c r="K30" s="59"/>
      <c r="L30" s="59"/>
      <c r="M30" s="59"/>
      <c r="N30" s="59"/>
      <c r="O30" s="59"/>
      <c r="P30" s="59"/>
      <c r="Q30" s="149">
        <f t="shared" si="0"/>
        <v>0</v>
      </c>
    </row>
    <row r="31" spans="1:17" x14ac:dyDescent="0.3">
      <c r="C31" s="59"/>
      <c r="D31" s="59"/>
      <c r="F31" s="59"/>
      <c r="G31" s="59"/>
      <c r="H31" s="59"/>
      <c r="I31" s="59"/>
      <c r="J31" s="59"/>
      <c r="K31" s="59"/>
      <c r="L31" s="59"/>
      <c r="M31" s="59"/>
      <c r="N31" s="59"/>
      <c r="O31" s="59"/>
      <c r="P31" s="59"/>
      <c r="Q31" s="149">
        <f t="shared" si="0"/>
        <v>0</v>
      </c>
    </row>
    <row r="32" spans="1:17" x14ac:dyDescent="0.3">
      <c r="C32" s="59"/>
      <c r="D32" s="59"/>
      <c r="F32" s="59"/>
      <c r="G32" s="59"/>
      <c r="H32" s="59"/>
      <c r="I32" s="59"/>
      <c r="J32" s="59"/>
      <c r="K32" s="59"/>
      <c r="L32" s="59"/>
      <c r="M32" s="59"/>
      <c r="N32" s="59"/>
      <c r="O32" s="59"/>
      <c r="P32" s="59"/>
      <c r="Q32" s="149">
        <f t="shared" si="0"/>
        <v>0</v>
      </c>
    </row>
    <row r="33" spans="1:17" x14ac:dyDescent="0.3">
      <c r="C33" s="59"/>
      <c r="D33" s="59"/>
      <c r="F33" s="59"/>
      <c r="G33" s="59"/>
      <c r="H33" s="59"/>
      <c r="I33" s="59"/>
      <c r="J33" s="59"/>
      <c r="K33" s="59"/>
      <c r="L33" s="59"/>
      <c r="M33" s="59"/>
      <c r="N33" s="59"/>
      <c r="O33" s="59"/>
      <c r="P33" s="59"/>
      <c r="Q33" s="149">
        <f t="shared" si="0"/>
        <v>0</v>
      </c>
    </row>
    <row r="34" spans="1:17" x14ac:dyDescent="0.3">
      <c r="C34" s="59"/>
      <c r="D34" s="59"/>
      <c r="F34" s="59"/>
      <c r="G34" s="59"/>
      <c r="H34" s="59"/>
      <c r="I34" s="59"/>
      <c r="J34" s="59"/>
      <c r="K34" s="59"/>
      <c r="L34" s="59"/>
      <c r="M34" s="59"/>
      <c r="N34" s="59"/>
      <c r="O34" s="59"/>
      <c r="P34" s="59"/>
      <c r="Q34" s="149">
        <f t="shared" si="0"/>
        <v>0</v>
      </c>
    </row>
    <row r="35" spans="1:17" x14ac:dyDescent="0.3">
      <c r="C35" s="59"/>
      <c r="D35" s="59"/>
      <c r="F35" s="59"/>
      <c r="G35" s="59"/>
      <c r="H35" s="59"/>
      <c r="I35" s="59"/>
      <c r="J35" s="59"/>
      <c r="K35" s="59"/>
      <c r="L35" s="59"/>
      <c r="M35" s="59"/>
      <c r="N35" s="59"/>
      <c r="O35" s="59"/>
      <c r="P35" s="59"/>
      <c r="Q35" s="149">
        <f t="shared" si="0"/>
        <v>0</v>
      </c>
    </row>
    <row r="36" spans="1:17" x14ac:dyDescent="0.3">
      <c r="C36" s="59"/>
      <c r="D36" s="59"/>
      <c r="F36" s="59"/>
      <c r="G36" s="59"/>
      <c r="H36" s="59"/>
      <c r="I36" s="59"/>
      <c r="J36" s="59"/>
      <c r="K36" s="59"/>
      <c r="L36" s="59"/>
      <c r="M36" s="59"/>
      <c r="N36" s="59"/>
      <c r="O36" s="59"/>
      <c r="P36" s="59"/>
      <c r="Q36" s="149">
        <f t="shared" si="0"/>
        <v>0</v>
      </c>
    </row>
    <row r="37" spans="1:17" x14ac:dyDescent="0.3">
      <c r="C37" s="59"/>
      <c r="D37" s="59"/>
      <c r="F37" s="59"/>
      <c r="G37" s="59"/>
      <c r="H37" s="59"/>
      <c r="I37" s="59"/>
      <c r="J37" s="59"/>
      <c r="K37" s="59"/>
      <c r="L37" s="59"/>
      <c r="M37" s="59"/>
      <c r="N37" s="59"/>
      <c r="O37" s="59"/>
      <c r="P37" s="59"/>
      <c r="Q37" s="149">
        <f t="shared" si="0"/>
        <v>0</v>
      </c>
    </row>
    <row r="38" spans="1:17" x14ac:dyDescent="0.3">
      <c r="C38" s="59"/>
      <c r="D38" s="59"/>
      <c r="F38" s="59"/>
      <c r="G38" s="59"/>
      <c r="H38" s="59"/>
      <c r="I38" s="59"/>
      <c r="J38" s="59"/>
      <c r="K38" s="59"/>
      <c r="L38" s="59"/>
      <c r="M38" s="59"/>
      <c r="N38" s="59"/>
      <c r="O38" s="59"/>
      <c r="P38" s="59"/>
      <c r="Q38" s="149">
        <f t="shared" si="0"/>
        <v>0</v>
      </c>
    </row>
    <row r="40" spans="1:17" x14ac:dyDescent="0.3">
      <c r="A40">
        <v>31</v>
      </c>
      <c r="B40" s="91" t="s">
        <v>756</v>
      </c>
      <c r="D40" s="150">
        <f>SUM(D7:D38)</f>
        <v>0</v>
      </c>
      <c r="E40" s="116"/>
      <c r="F40" s="149">
        <f t="shared" ref="F40:Q40" si="1">SUM(F7:F38)</f>
        <v>0</v>
      </c>
      <c r="G40" s="149">
        <f t="shared" si="1"/>
        <v>0</v>
      </c>
      <c r="H40" s="149">
        <f t="shared" si="1"/>
        <v>0</v>
      </c>
      <c r="I40" s="149">
        <f t="shared" si="1"/>
        <v>0</v>
      </c>
      <c r="J40" s="149">
        <f t="shared" si="1"/>
        <v>0</v>
      </c>
      <c r="K40" s="149">
        <f t="shared" si="1"/>
        <v>0</v>
      </c>
      <c r="L40" s="149">
        <f t="shared" si="1"/>
        <v>0</v>
      </c>
      <c r="M40" s="149">
        <f t="shared" si="1"/>
        <v>0</v>
      </c>
      <c r="N40" s="149">
        <f t="shared" si="1"/>
        <v>0</v>
      </c>
      <c r="O40" s="149">
        <f t="shared" si="1"/>
        <v>0</v>
      </c>
      <c r="P40" s="149">
        <f t="shared" si="1"/>
        <v>0</v>
      </c>
      <c r="Q40" s="150">
        <f t="shared" si="1"/>
        <v>0</v>
      </c>
    </row>
    <row r="42" spans="1:17" x14ac:dyDescent="0.3">
      <c r="P42" s="3" t="s">
        <v>658</v>
      </c>
    </row>
    <row r="43" spans="1:17" x14ac:dyDescent="0.3">
      <c r="P43" s="3" t="s">
        <v>660</v>
      </c>
      <c r="Q43" s="2"/>
    </row>
    <row r="44" spans="1:17" x14ac:dyDescent="0.3">
      <c r="Q44" s="100">
        <f>SUM(Q40:Q43)</f>
        <v>0</v>
      </c>
    </row>
    <row r="45" spans="1:17" x14ac:dyDescent="0.3">
      <c r="A45" s="34" t="s">
        <v>757</v>
      </c>
      <c r="B45" s="91" t="s">
        <v>758</v>
      </c>
      <c r="C45" s="91" t="s">
        <v>759</v>
      </c>
    </row>
    <row r="46" spans="1:17" x14ac:dyDescent="0.3">
      <c r="A46" s="4">
        <v>1</v>
      </c>
    </row>
    <row r="47" spans="1:17" x14ac:dyDescent="0.3">
      <c r="A47" s="4">
        <v>2</v>
      </c>
    </row>
    <row r="48" spans="1:17" x14ac:dyDescent="0.3">
      <c r="A48" s="4">
        <v>3</v>
      </c>
    </row>
    <row r="49" spans="1:1" x14ac:dyDescent="0.3">
      <c r="A49" s="4">
        <v>4</v>
      </c>
    </row>
    <row r="50" spans="1:1" x14ac:dyDescent="0.3">
      <c r="A50" s="4">
        <v>5</v>
      </c>
    </row>
    <row r="51" spans="1:1" x14ac:dyDescent="0.3">
      <c r="A51" s="4">
        <v>6</v>
      </c>
    </row>
    <row r="52" spans="1:1" x14ac:dyDescent="0.3">
      <c r="A52" s="4">
        <v>7</v>
      </c>
    </row>
    <row r="53" spans="1:1" x14ac:dyDescent="0.3">
      <c r="A53" s="4">
        <v>8</v>
      </c>
    </row>
    <row r="54" spans="1:1" x14ac:dyDescent="0.3">
      <c r="A54" s="4">
        <v>9</v>
      </c>
    </row>
    <row r="55" spans="1:1" x14ac:dyDescent="0.3">
      <c r="A55" s="4">
        <v>10</v>
      </c>
    </row>
  </sheetData>
  <mergeCells count="2">
    <mergeCell ref="C1:D1"/>
    <mergeCell ref="C2:D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Lists!$A$1:$A$3</xm:f>
          </x14:formula1>
          <xm:sqref>A4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election activeCell="Z2" sqref="Z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Q55"/>
  <sheetViews>
    <sheetView workbookViewId="0">
      <selection activeCell="C1" sqref="C1:D2"/>
    </sheetView>
  </sheetViews>
  <sheetFormatPr defaultColWidth="8.88671875" defaultRowHeight="14.4" x14ac:dyDescent="0.3"/>
  <cols>
    <col min="1" max="1" width="6.6640625" customWidth="1"/>
    <col min="2" max="2" width="7.109375" customWidth="1"/>
    <col min="3" max="3" width="41.44140625" customWidth="1"/>
    <col min="4" max="4" width="10.5546875" bestFit="1" customWidth="1"/>
    <col min="5" max="5" width="2.33203125" customWidth="1"/>
    <col min="6" max="6" width="9.109375" bestFit="1" customWidth="1"/>
  </cols>
  <sheetData>
    <row r="1" spans="1:17" ht="15" thickBot="1" x14ac:dyDescent="0.35">
      <c r="C1" s="233" t="s">
        <v>56</v>
      </c>
      <c r="D1" s="234"/>
    </row>
    <row r="2" spans="1:17" ht="15" thickBot="1" x14ac:dyDescent="0.35">
      <c r="C2" s="236" t="s">
        <v>57</v>
      </c>
      <c r="D2" s="237"/>
    </row>
    <row r="4" spans="1:17" x14ac:dyDescent="0.3">
      <c r="A4" s="81"/>
      <c r="B4" s="91" t="s">
        <v>543</v>
      </c>
    </row>
    <row r="5" spans="1:17" x14ac:dyDescent="0.3">
      <c r="A5" s="151" t="s">
        <v>786</v>
      </c>
      <c r="C5" s="59"/>
    </row>
    <row r="6" spans="1:17" s="91" customFormat="1" x14ac:dyDescent="0.3">
      <c r="A6" s="91" t="s">
        <v>701</v>
      </c>
      <c r="B6" s="91" t="s">
        <v>62</v>
      </c>
      <c r="D6" s="91" t="s">
        <v>702</v>
      </c>
      <c r="F6" s="34" t="s">
        <v>703</v>
      </c>
      <c r="G6" s="34" t="s">
        <v>704</v>
      </c>
      <c r="H6" s="34" t="s">
        <v>705</v>
      </c>
      <c r="I6" s="34" t="s">
        <v>706</v>
      </c>
      <c r="J6" s="34" t="s">
        <v>707</v>
      </c>
      <c r="K6" s="34" t="s">
        <v>708</v>
      </c>
      <c r="L6" s="34" t="s">
        <v>709</v>
      </c>
      <c r="M6" s="34" t="s">
        <v>710</v>
      </c>
      <c r="N6" s="34" t="s">
        <v>711</v>
      </c>
      <c r="O6" s="34" t="s">
        <v>712</v>
      </c>
      <c r="P6" s="34" t="s">
        <v>713</v>
      </c>
      <c r="Q6" s="34" t="s">
        <v>714</v>
      </c>
    </row>
    <row r="7" spans="1:17" x14ac:dyDescent="0.3">
      <c r="A7" s="3">
        <v>3</v>
      </c>
      <c r="B7" t="s">
        <v>787</v>
      </c>
      <c r="D7" s="59"/>
      <c r="F7" s="59"/>
      <c r="G7" s="59"/>
      <c r="H7" s="59"/>
      <c r="I7" s="59"/>
      <c r="J7" s="59"/>
      <c r="K7" s="59"/>
      <c r="L7" s="59"/>
      <c r="M7" s="59"/>
      <c r="N7" s="59"/>
      <c r="O7" s="59"/>
      <c r="P7" s="59"/>
      <c r="Q7" s="149">
        <f>SUM(F7:P7)</f>
        <v>0</v>
      </c>
    </row>
    <row r="8" spans="1:17" x14ac:dyDescent="0.3">
      <c r="A8" s="3">
        <v>4</v>
      </c>
      <c r="B8" t="s">
        <v>788</v>
      </c>
      <c r="D8" s="59"/>
      <c r="F8" s="59"/>
      <c r="G8" s="59"/>
      <c r="H8" s="59"/>
      <c r="I8" s="59"/>
      <c r="J8" s="59"/>
      <c r="K8" s="59"/>
      <c r="L8" s="59"/>
      <c r="M8" s="59"/>
      <c r="N8" s="59"/>
      <c r="O8" s="59"/>
      <c r="P8" s="59"/>
      <c r="Q8" s="149">
        <f t="shared" ref="Q8:Q38" si="0">SUM(F8:P8)</f>
        <v>0</v>
      </c>
    </row>
    <row r="9" spans="1:17" x14ac:dyDescent="0.3">
      <c r="A9" s="3">
        <v>5</v>
      </c>
      <c r="B9" t="s">
        <v>725</v>
      </c>
      <c r="D9" s="59"/>
      <c r="F9" s="59"/>
      <c r="G9" s="59"/>
      <c r="H9" s="59"/>
      <c r="I9" s="59"/>
      <c r="J9" s="59"/>
      <c r="K9" s="59"/>
      <c r="L9" s="59"/>
      <c r="M9" s="59"/>
      <c r="N9" s="59"/>
      <c r="O9" s="59"/>
      <c r="P9" s="59"/>
      <c r="Q9" s="149">
        <f t="shared" si="0"/>
        <v>0</v>
      </c>
    </row>
    <row r="10" spans="1:17" x14ac:dyDescent="0.3">
      <c r="A10" s="3">
        <v>6</v>
      </c>
      <c r="B10" t="s">
        <v>789</v>
      </c>
      <c r="D10" s="59"/>
      <c r="F10" s="59"/>
      <c r="G10" s="59"/>
      <c r="H10" s="59"/>
      <c r="I10" s="59"/>
      <c r="J10" s="59"/>
      <c r="K10" s="59"/>
      <c r="L10" s="59"/>
      <c r="M10" s="59"/>
      <c r="N10" s="59"/>
      <c r="O10" s="59"/>
      <c r="P10" s="59"/>
      <c r="Q10" s="149">
        <f t="shared" si="0"/>
        <v>0</v>
      </c>
    </row>
    <row r="11" spans="1:17" x14ac:dyDescent="0.3">
      <c r="A11" s="3">
        <v>7</v>
      </c>
      <c r="B11" t="s">
        <v>790</v>
      </c>
      <c r="D11" s="59"/>
      <c r="F11" s="59"/>
      <c r="G11" s="59"/>
      <c r="H11" s="59"/>
      <c r="I11" s="59"/>
      <c r="J11" s="59"/>
      <c r="K11" s="59"/>
      <c r="L11" s="59"/>
      <c r="M11" s="59"/>
      <c r="N11" s="59"/>
      <c r="O11" s="59"/>
      <c r="P11" s="59"/>
      <c r="Q11" s="149">
        <f t="shared" si="0"/>
        <v>0</v>
      </c>
    </row>
    <row r="12" spans="1:17" x14ac:dyDescent="0.3">
      <c r="A12" s="3">
        <v>8</v>
      </c>
      <c r="B12" t="s">
        <v>791</v>
      </c>
      <c r="D12" s="59"/>
      <c r="F12" s="59"/>
      <c r="G12" s="59"/>
      <c r="H12" s="59"/>
      <c r="I12" s="59"/>
      <c r="J12" s="59"/>
      <c r="K12" s="59"/>
      <c r="L12" s="59"/>
      <c r="M12" s="59"/>
      <c r="N12" s="59"/>
      <c r="O12" s="59"/>
      <c r="P12" s="59"/>
      <c r="Q12" s="149">
        <f t="shared" si="0"/>
        <v>0</v>
      </c>
    </row>
    <row r="13" spans="1:17" x14ac:dyDescent="0.3">
      <c r="A13" s="3">
        <v>9</v>
      </c>
      <c r="B13" t="s">
        <v>732</v>
      </c>
      <c r="D13" s="59"/>
      <c r="F13" s="59"/>
      <c r="G13" s="59"/>
      <c r="H13" s="59"/>
      <c r="I13" s="59"/>
      <c r="J13" s="59"/>
      <c r="K13" s="59"/>
      <c r="L13" s="59"/>
      <c r="M13" s="59"/>
      <c r="N13" s="59"/>
      <c r="O13" s="59"/>
      <c r="P13" s="59"/>
      <c r="Q13" s="149">
        <f t="shared" si="0"/>
        <v>0</v>
      </c>
    </row>
    <row r="14" spans="1:17" x14ac:dyDescent="0.3">
      <c r="A14" s="3">
        <v>10</v>
      </c>
      <c r="B14" t="s">
        <v>792</v>
      </c>
      <c r="D14" s="59"/>
      <c r="F14" s="59"/>
      <c r="G14" s="59"/>
      <c r="H14" s="59"/>
      <c r="I14" s="59"/>
      <c r="J14" s="59"/>
      <c r="K14" s="59"/>
      <c r="L14" s="59"/>
      <c r="M14" s="59"/>
      <c r="N14" s="59"/>
      <c r="O14" s="59"/>
      <c r="P14" s="59"/>
      <c r="Q14" s="149">
        <f t="shared" si="0"/>
        <v>0</v>
      </c>
    </row>
    <row r="15" spans="1:17" x14ac:dyDescent="0.3">
      <c r="A15" s="3">
        <v>11</v>
      </c>
      <c r="B15" t="s">
        <v>793</v>
      </c>
      <c r="D15" s="59"/>
      <c r="F15" s="59"/>
      <c r="G15" s="59"/>
      <c r="H15" s="59"/>
      <c r="I15" s="59"/>
      <c r="J15" s="59"/>
      <c r="K15" s="59"/>
      <c r="L15" s="59"/>
      <c r="M15" s="59"/>
      <c r="N15" s="59"/>
      <c r="O15" s="59"/>
      <c r="P15" s="59"/>
      <c r="Q15" s="149">
        <f t="shared" si="0"/>
        <v>0</v>
      </c>
    </row>
    <row r="16" spans="1:17" x14ac:dyDescent="0.3">
      <c r="A16" s="3">
        <v>12</v>
      </c>
      <c r="B16" t="s">
        <v>733</v>
      </c>
      <c r="D16" s="59"/>
      <c r="F16" s="59"/>
      <c r="G16" s="59"/>
      <c r="H16" s="59"/>
      <c r="I16" s="59"/>
      <c r="J16" s="59"/>
      <c r="K16" s="59"/>
      <c r="L16" s="59"/>
      <c r="M16" s="59"/>
      <c r="N16" s="59"/>
      <c r="O16" s="59"/>
      <c r="P16" s="59"/>
      <c r="Q16" s="149">
        <f t="shared" si="0"/>
        <v>0</v>
      </c>
    </row>
    <row r="17" spans="1:17" x14ac:dyDescent="0.3">
      <c r="A17" s="3">
        <v>13</v>
      </c>
      <c r="B17" t="s">
        <v>734</v>
      </c>
      <c r="D17" s="59"/>
      <c r="F17" s="59"/>
      <c r="G17" s="59"/>
      <c r="H17" s="59"/>
      <c r="I17" s="59"/>
      <c r="J17" s="59"/>
      <c r="K17" s="59"/>
      <c r="L17" s="59"/>
      <c r="M17" s="59"/>
      <c r="N17" s="59"/>
      <c r="O17" s="59"/>
      <c r="P17" s="59"/>
      <c r="Q17" s="149">
        <f t="shared" si="0"/>
        <v>0</v>
      </c>
    </row>
    <row r="18" spans="1:17" x14ac:dyDescent="0.3">
      <c r="A18" s="3">
        <v>14</v>
      </c>
      <c r="B18" t="s">
        <v>794</v>
      </c>
      <c r="D18" s="59"/>
      <c r="F18" s="59"/>
      <c r="G18" s="59"/>
      <c r="H18" s="59"/>
      <c r="I18" s="59"/>
      <c r="J18" s="59"/>
      <c r="K18" s="59"/>
      <c r="L18" s="59"/>
      <c r="M18" s="59"/>
      <c r="N18" s="59"/>
      <c r="O18" s="59"/>
      <c r="P18" s="59"/>
      <c r="Q18" s="149">
        <f t="shared" si="0"/>
        <v>0</v>
      </c>
    </row>
    <row r="19" spans="1:17" x14ac:dyDescent="0.3">
      <c r="A19" s="3">
        <v>15</v>
      </c>
      <c r="B19" t="s">
        <v>743</v>
      </c>
      <c r="D19" s="59"/>
      <c r="F19" s="59"/>
      <c r="G19" s="59"/>
      <c r="H19" s="59"/>
      <c r="I19" s="59"/>
      <c r="J19" s="59"/>
      <c r="K19" s="59"/>
      <c r="L19" s="59"/>
      <c r="M19" s="59"/>
      <c r="N19" s="59"/>
      <c r="O19" s="59"/>
      <c r="P19" s="59"/>
      <c r="Q19" s="149">
        <f t="shared" si="0"/>
        <v>0</v>
      </c>
    </row>
    <row r="20" spans="1:17" x14ac:dyDescent="0.3">
      <c r="A20" s="3">
        <v>16</v>
      </c>
      <c r="B20" t="s">
        <v>795</v>
      </c>
      <c r="D20" s="59"/>
      <c r="F20" s="59"/>
      <c r="G20" s="59"/>
      <c r="H20" s="59"/>
      <c r="I20" s="59"/>
      <c r="J20" s="59"/>
      <c r="K20" s="59"/>
      <c r="L20" s="59"/>
      <c r="M20" s="59"/>
      <c r="N20" s="59"/>
      <c r="O20" s="59"/>
      <c r="P20" s="59"/>
      <c r="Q20" s="149">
        <f t="shared" si="0"/>
        <v>0</v>
      </c>
    </row>
    <row r="21" spans="1:17" x14ac:dyDescent="0.3">
      <c r="A21" s="3">
        <v>17</v>
      </c>
      <c r="B21" t="s">
        <v>749</v>
      </c>
      <c r="D21" s="59"/>
      <c r="F21" s="59"/>
      <c r="G21" s="59"/>
      <c r="H21" s="59"/>
      <c r="I21" s="59"/>
      <c r="J21" s="59"/>
      <c r="K21" s="59"/>
      <c r="L21" s="59"/>
      <c r="M21" s="59"/>
      <c r="N21" s="59"/>
      <c r="O21" s="59"/>
      <c r="P21" s="59"/>
      <c r="Q21" s="149">
        <f t="shared" si="0"/>
        <v>0</v>
      </c>
    </row>
    <row r="22" spans="1:17" x14ac:dyDescent="0.3">
      <c r="A22" s="3">
        <v>18</v>
      </c>
      <c r="B22" t="s">
        <v>796</v>
      </c>
      <c r="D22" s="59"/>
      <c r="F22" s="59"/>
      <c r="G22" s="59"/>
      <c r="H22" s="59"/>
      <c r="I22" s="59"/>
      <c r="J22" s="59"/>
      <c r="K22" s="59"/>
      <c r="L22" s="59"/>
      <c r="M22" s="59"/>
      <c r="N22" s="59"/>
      <c r="O22" s="59"/>
      <c r="P22" s="59"/>
      <c r="Q22" s="149">
        <f t="shared" si="0"/>
        <v>0</v>
      </c>
    </row>
    <row r="23" spans="1:17" x14ac:dyDescent="0.3">
      <c r="A23" s="3">
        <v>19</v>
      </c>
      <c r="B23" t="s">
        <v>752</v>
      </c>
      <c r="D23" s="59"/>
      <c r="F23" s="59"/>
      <c r="G23" s="59"/>
      <c r="H23" s="59"/>
      <c r="I23" s="59"/>
      <c r="J23" s="59"/>
      <c r="K23" s="59"/>
      <c r="L23" s="59"/>
      <c r="M23" s="59"/>
      <c r="N23" s="59"/>
      <c r="O23" s="59"/>
      <c r="P23" s="59"/>
      <c r="Q23" s="149">
        <f t="shared" si="0"/>
        <v>0</v>
      </c>
    </row>
    <row r="24" spans="1:17" x14ac:dyDescent="0.3">
      <c r="A24" s="3"/>
      <c r="C24" s="59"/>
      <c r="D24" s="59"/>
      <c r="F24" s="59"/>
      <c r="G24" s="59"/>
      <c r="H24" s="59"/>
      <c r="I24" s="59"/>
      <c r="J24" s="59"/>
      <c r="K24" s="59"/>
      <c r="L24" s="59"/>
      <c r="M24" s="59"/>
      <c r="N24" s="59"/>
      <c r="O24" s="59"/>
      <c r="P24" s="59"/>
      <c r="Q24" s="149">
        <f t="shared" si="0"/>
        <v>0</v>
      </c>
    </row>
    <row r="25" spans="1:17" x14ac:dyDescent="0.3">
      <c r="C25" s="59"/>
      <c r="D25" s="59"/>
      <c r="F25" s="59"/>
      <c r="G25" s="59"/>
      <c r="H25" s="59"/>
      <c r="I25" s="59"/>
      <c r="J25" s="59"/>
      <c r="K25" s="59"/>
      <c r="L25" s="59"/>
      <c r="M25" s="59"/>
      <c r="N25" s="59"/>
      <c r="O25" s="59"/>
      <c r="P25" s="59"/>
      <c r="Q25" s="149">
        <f t="shared" si="0"/>
        <v>0</v>
      </c>
    </row>
    <row r="26" spans="1:17" x14ac:dyDescent="0.3">
      <c r="C26" s="59"/>
      <c r="D26" s="59"/>
      <c r="F26" s="59"/>
      <c r="G26" s="59"/>
      <c r="H26" s="59"/>
      <c r="I26" s="59"/>
      <c r="J26" s="59"/>
      <c r="K26" s="59"/>
      <c r="L26" s="59"/>
      <c r="M26" s="59"/>
      <c r="N26" s="59"/>
      <c r="O26" s="59"/>
      <c r="P26" s="59"/>
      <c r="Q26" s="149">
        <f t="shared" si="0"/>
        <v>0</v>
      </c>
    </row>
    <row r="27" spans="1:17" x14ac:dyDescent="0.3">
      <c r="C27" s="59"/>
      <c r="D27" s="59"/>
      <c r="F27" s="59"/>
      <c r="G27" s="59"/>
      <c r="H27" s="59"/>
      <c r="I27" s="59"/>
      <c r="J27" s="59"/>
      <c r="K27" s="59"/>
      <c r="L27" s="59"/>
      <c r="M27" s="59"/>
      <c r="N27" s="59"/>
      <c r="O27" s="59"/>
      <c r="P27" s="59"/>
      <c r="Q27" s="149">
        <f t="shared" si="0"/>
        <v>0</v>
      </c>
    </row>
    <row r="28" spans="1:17" x14ac:dyDescent="0.3">
      <c r="C28" s="59"/>
      <c r="D28" s="59"/>
      <c r="F28" s="59"/>
      <c r="G28" s="59"/>
      <c r="H28" s="59"/>
      <c r="I28" s="59"/>
      <c r="J28" s="59"/>
      <c r="K28" s="59"/>
      <c r="L28" s="59"/>
      <c r="M28" s="59"/>
      <c r="N28" s="59"/>
      <c r="O28" s="59"/>
      <c r="P28" s="59"/>
      <c r="Q28" s="149">
        <f t="shared" si="0"/>
        <v>0</v>
      </c>
    </row>
    <row r="29" spans="1:17" x14ac:dyDescent="0.3">
      <c r="C29" s="59"/>
      <c r="D29" s="59"/>
      <c r="F29" s="59"/>
      <c r="G29" s="59"/>
      <c r="H29" s="59"/>
      <c r="I29" s="59"/>
      <c r="J29" s="59"/>
      <c r="K29" s="59"/>
      <c r="L29" s="59"/>
      <c r="M29" s="59"/>
      <c r="N29" s="59"/>
      <c r="O29" s="59"/>
      <c r="P29" s="59"/>
      <c r="Q29" s="149">
        <f t="shared" si="0"/>
        <v>0</v>
      </c>
    </row>
    <row r="30" spans="1:17" x14ac:dyDescent="0.3">
      <c r="C30" s="59"/>
      <c r="D30" s="59"/>
      <c r="F30" s="59"/>
      <c r="G30" s="59"/>
      <c r="H30" s="59"/>
      <c r="I30" s="59"/>
      <c r="J30" s="59"/>
      <c r="K30" s="59"/>
      <c r="L30" s="59"/>
      <c r="M30" s="59"/>
      <c r="N30" s="59"/>
      <c r="O30" s="59"/>
      <c r="P30" s="59"/>
      <c r="Q30" s="149">
        <f t="shared" si="0"/>
        <v>0</v>
      </c>
    </row>
    <row r="31" spans="1:17" x14ac:dyDescent="0.3">
      <c r="C31" s="59"/>
      <c r="D31" s="59"/>
      <c r="F31" s="59"/>
      <c r="G31" s="59"/>
      <c r="H31" s="59"/>
      <c r="I31" s="59"/>
      <c r="J31" s="59"/>
      <c r="K31" s="59"/>
      <c r="L31" s="59"/>
      <c r="M31" s="59"/>
      <c r="N31" s="59"/>
      <c r="O31" s="59"/>
      <c r="P31" s="59"/>
      <c r="Q31" s="149">
        <f t="shared" si="0"/>
        <v>0</v>
      </c>
    </row>
    <row r="32" spans="1:17" x14ac:dyDescent="0.3">
      <c r="C32" s="59"/>
      <c r="D32" s="59"/>
      <c r="F32" s="59"/>
      <c r="G32" s="59"/>
      <c r="H32" s="59"/>
      <c r="I32" s="59"/>
      <c r="J32" s="59"/>
      <c r="K32" s="59"/>
      <c r="L32" s="59"/>
      <c r="M32" s="59"/>
      <c r="N32" s="59"/>
      <c r="O32" s="59"/>
      <c r="P32" s="59"/>
      <c r="Q32" s="149">
        <f t="shared" si="0"/>
        <v>0</v>
      </c>
    </row>
    <row r="33" spans="1:17" x14ac:dyDescent="0.3">
      <c r="C33" s="59"/>
      <c r="D33" s="59"/>
      <c r="F33" s="59"/>
      <c r="G33" s="59"/>
      <c r="H33" s="59"/>
      <c r="I33" s="59"/>
      <c r="J33" s="59"/>
      <c r="K33" s="59"/>
      <c r="L33" s="59"/>
      <c r="M33" s="59"/>
      <c r="N33" s="59"/>
      <c r="O33" s="59"/>
      <c r="P33" s="59"/>
      <c r="Q33" s="149">
        <f t="shared" si="0"/>
        <v>0</v>
      </c>
    </row>
    <row r="34" spans="1:17" x14ac:dyDescent="0.3">
      <c r="C34" s="59"/>
      <c r="D34" s="59"/>
      <c r="F34" s="59"/>
      <c r="G34" s="59"/>
      <c r="H34" s="59"/>
      <c r="I34" s="59"/>
      <c r="J34" s="59"/>
      <c r="K34" s="59"/>
      <c r="L34" s="59"/>
      <c r="M34" s="59"/>
      <c r="N34" s="59"/>
      <c r="O34" s="59"/>
      <c r="P34" s="59"/>
      <c r="Q34" s="149">
        <f t="shared" si="0"/>
        <v>0</v>
      </c>
    </row>
    <row r="35" spans="1:17" x14ac:dyDescent="0.3">
      <c r="C35" s="59"/>
      <c r="D35" s="59"/>
      <c r="F35" s="59"/>
      <c r="G35" s="59"/>
      <c r="H35" s="59"/>
      <c r="I35" s="59"/>
      <c r="J35" s="59"/>
      <c r="K35" s="59"/>
      <c r="L35" s="59"/>
      <c r="M35" s="59"/>
      <c r="N35" s="59"/>
      <c r="O35" s="59"/>
      <c r="P35" s="59"/>
      <c r="Q35" s="149">
        <f t="shared" si="0"/>
        <v>0</v>
      </c>
    </row>
    <row r="36" spans="1:17" x14ac:dyDescent="0.3">
      <c r="C36" s="59"/>
      <c r="D36" s="59"/>
      <c r="F36" s="59"/>
      <c r="G36" s="59"/>
      <c r="H36" s="59"/>
      <c r="I36" s="59"/>
      <c r="J36" s="59"/>
      <c r="K36" s="59"/>
      <c r="L36" s="59"/>
      <c r="M36" s="59"/>
      <c r="N36" s="59"/>
      <c r="O36" s="59"/>
      <c r="P36" s="59"/>
      <c r="Q36" s="149">
        <f t="shared" si="0"/>
        <v>0</v>
      </c>
    </row>
    <row r="37" spans="1:17" x14ac:dyDescent="0.3">
      <c r="C37" s="59"/>
      <c r="D37" s="59"/>
      <c r="F37" s="59"/>
      <c r="G37" s="59"/>
      <c r="H37" s="59"/>
      <c r="I37" s="59"/>
      <c r="J37" s="59"/>
      <c r="K37" s="59"/>
      <c r="L37" s="59"/>
      <c r="M37" s="59"/>
      <c r="N37" s="59"/>
      <c r="O37" s="59"/>
      <c r="P37" s="59"/>
      <c r="Q37" s="149">
        <f t="shared" si="0"/>
        <v>0</v>
      </c>
    </row>
    <row r="38" spans="1:17" x14ac:dyDescent="0.3">
      <c r="C38" s="59"/>
      <c r="D38" s="59"/>
      <c r="F38" s="59"/>
      <c r="G38" s="59"/>
      <c r="H38" s="59"/>
      <c r="I38" s="59"/>
      <c r="J38" s="59"/>
      <c r="K38" s="59"/>
      <c r="L38" s="59"/>
      <c r="M38" s="59"/>
      <c r="N38" s="59"/>
      <c r="O38" s="59"/>
      <c r="P38" s="59"/>
      <c r="Q38" s="149">
        <f t="shared" si="0"/>
        <v>0</v>
      </c>
    </row>
    <row r="40" spans="1:17" x14ac:dyDescent="0.3">
      <c r="A40">
        <v>31</v>
      </c>
      <c r="B40" s="91" t="s">
        <v>756</v>
      </c>
      <c r="D40" s="150">
        <f>SUM(D7:D38)</f>
        <v>0</v>
      </c>
      <c r="E40" s="116"/>
      <c r="F40" s="149">
        <f t="shared" ref="F40:Q40" si="1">SUM(F7:F38)</f>
        <v>0</v>
      </c>
      <c r="G40" s="149">
        <f t="shared" si="1"/>
        <v>0</v>
      </c>
      <c r="H40" s="149">
        <f t="shared" si="1"/>
        <v>0</v>
      </c>
      <c r="I40" s="149">
        <f t="shared" si="1"/>
        <v>0</v>
      </c>
      <c r="J40" s="149">
        <f t="shared" si="1"/>
        <v>0</v>
      </c>
      <c r="K40" s="149">
        <f t="shared" si="1"/>
        <v>0</v>
      </c>
      <c r="L40" s="149">
        <f t="shared" si="1"/>
        <v>0</v>
      </c>
      <c r="M40" s="149">
        <f t="shared" si="1"/>
        <v>0</v>
      </c>
      <c r="N40" s="149">
        <f t="shared" si="1"/>
        <v>0</v>
      </c>
      <c r="O40" s="149">
        <f t="shared" si="1"/>
        <v>0</v>
      </c>
      <c r="P40" s="149">
        <f t="shared" si="1"/>
        <v>0</v>
      </c>
      <c r="Q40" s="150">
        <f t="shared" si="1"/>
        <v>0</v>
      </c>
    </row>
    <row r="42" spans="1:17" x14ac:dyDescent="0.3">
      <c r="P42" s="3" t="s">
        <v>658</v>
      </c>
    </row>
    <row r="43" spans="1:17" x14ac:dyDescent="0.3">
      <c r="P43" s="3" t="s">
        <v>660</v>
      </c>
      <c r="Q43" s="2"/>
    </row>
    <row r="44" spans="1:17" x14ac:dyDescent="0.3">
      <c r="Q44" s="100">
        <f>SUM(Q40:Q43)</f>
        <v>0</v>
      </c>
    </row>
    <row r="45" spans="1:17" x14ac:dyDescent="0.3">
      <c r="A45" s="34" t="s">
        <v>757</v>
      </c>
      <c r="B45" s="91" t="s">
        <v>758</v>
      </c>
      <c r="C45" s="91" t="s">
        <v>759</v>
      </c>
    </row>
    <row r="46" spans="1:17" x14ac:dyDescent="0.3">
      <c r="A46" s="4">
        <v>1</v>
      </c>
    </row>
    <row r="47" spans="1:17" x14ac:dyDescent="0.3">
      <c r="A47" s="4">
        <v>2</v>
      </c>
    </row>
    <row r="48" spans="1:17" x14ac:dyDescent="0.3">
      <c r="A48" s="4">
        <v>3</v>
      </c>
    </row>
    <row r="49" spans="1:1" x14ac:dyDescent="0.3">
      <c r="A49" s="4">
        <v>4</v>
      </c>
    </row>
    <row r="50" spans="1:1" x14ac:dyDescent="0.3">
      <c r="A50" s="4">
        <v>5</v>
      </c>
    </row>
    <row r="51" spans="1:1" x14ac:dyDescent="0.3">
      <c r="A51" s="4">
        <v>6</v>
      </c>
    </row>
    <row r="52" spans="1:1" x14ac:dyDescent="0.3">
      <c r="A52" s="4">
        <v>7</v>
      </c>
    </row>
    <row r="53" spans="1:1" x14ac:dyDescent="0.3">
      <c r="A53" s="4">
        <v>8</v>
      </c>
    </row>
    <row r="54" spans="1:1" x14ac:dyDescent="0.3">
      <c r="A54" s="4">
        <v>9</v>
      </c>
    </row>
    <row r="55" spans="1:1" x14ac:dyDescent="0.3">
      <c r="A55" s="4">
        <v>10</v>
      </c>
    </row>
  </sheetData>
  <mergeCells count="2">
    <mergeCell ref="C1:D1"/>
    <mergeCell ref="C2:D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Lists!$A$1:$A$3</xm:f>
          </x14:formula1>
          <xm:sqref>A4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Q55"/>
  <sheetViews>
    <sheetView workbookViewId="0">
      <selection activeCell="G3" sqref="G3"/>
    </sheetView>
  </sheetViews>
  <sheetFormatPr defaultColWidth="8.88671875" defaultRowHeight="14.4" x14ac:dyDescent="0.3"/>
  <cols>
    <col min="1" max="1" width="6.6640625" customWidth="1"/>
    <col min="2" max="2" width="7.109375" customWidth="1"/>
    <col min="3" max="3" width="41.44140625" customWidth="1"/>
    <col min="4" max="4" width="10.5546875" bestFit="1" customWidth="1"/>
    <col min="5" max="5" width="2.33203125" customWidth="1"/>
    <col min="6" max="6" width="9.109375" bestFit="1" customWidth="1"/>
  </cols>
  <sheetData>
    <row r="1" spans="1:17" ht="15" thickBot="1" x14ac:dyDescent="0.35">
      <c r="C1" s="233" t="s">
        <v>56</v>
      </c>
      <c r="D1" s="234"/>
    </row>
    <row r="2" spans="1:17" ht="15" thickBot="1" x14ac:dyDescent="0.35">
      <c r="C2" s="236" t="s">
        <v>57</v>
      </c>
      <c r="D2" s="237"/>
    </row>
    <row r="4" spans="1:17" x14ac:dyDescent="0.3">
      <c r="A4" s="81"/>
      <c r="B4" s="91" t="s">
        <v>543</v>
      </c>
    </row>
    <row r="5" spans="1:17" x14ac:dyDescent="0.3">
      <c r="A5" s="151" t="s">
        <v>786</v>
      </c>
      <c r="C5" s="59"/>
    </row>
    <row r="6" spans="1:17" s="91" customFormat="1" x14ac:dyDescent="0.3">
      <c r="A6" s="91" t="s">
        <v>701</v>
      </c>
      <c r="B6" s="91" t="s">
        <v>62</v>
      </c>
      <c r="D6" s="91" t="s">
        <v>702</v>
      </c>
      <c r="F6" s="34" t="s">
        <v>703</v>
      </c>
      <c r="G6" s="34" t="s">
        <v>704</v>
      </c>
      <c r="H6" s="34" t="s">
        <v>705</v>
      </c>
      <c r="I6" s="34" t="s">
        <v>706</v>
      </c>
      <c r="J6" s="34" t="s">
        <v>707</v>
      </c>
      <c r="K6" s="34" t="s">
        <v>708</v>
      </c>
      <c r="L6" s="34" t="s">
        <v>709</v>
      </c>
      <c r="M6" s="34" t="s">
        <v>710</v>
      </c>
      <c r="N6" s="34" t="s">
        <v>711</v>
      </c>
      <c r="O6" s="34" t="s">
        <v>712</v>
      </c>
      <c r="P6" s="34" t="s">
        <v>713</v>
      </c>
      <c r="Q6" s="34" t="s">
        <v>714</v>
      </c>
    </row>
    <row r="7" spans="1:17" x14ac:dyDescent="0.3">
      <c r="A7" s="3">
        <v>3</v>
      </c>
      <c r="B7" t="s">
        <v>787</v>
      </c>
      <c r="D7" s="59"/>
      <c r="F7" s="59"/>
      <c r="G7" s="59"/>
      <c r="H7" s="59"/>
      <c r="I7" s="59"/>
      <c r="J7" s="59"/>
      <c r="K7" s="59"/>
      <c r="L7" s="59"/>
      <c r="M7" s="59"/>
      <c r="N7" s="59"/>
      <c r="O7" s="59"/>
      <c r="P7" s="59"/>
      <c r="Q7" s="149">
        <f>SUM(F7:P7)</f>
        <v>0</v>
      </c>
    </row>
    <row r="8" spans="1:17" x14ac:dyDescent="0.3">
      <c r="A8" s="3">
        <v>4</v>
      </c>
      <c r="B8" t="s">
        <v>788</v>
      </c>
      <c r="D8" s="59"/>
      <c r="F8" s="59"/>
      <c r="G8" s="59"/>
      <c r="H8" s="59"/>
      <c r="I8" s="59"/>
      <c r="J8" s="59"/>
      <c r="K8" s="59"/>
      <c r="L8" s="59"/>
      <c r="M8" s="59"/>
      <c r="N8" s="59"/>
      <c r="O8" s="59"/>
      <c r="P8" s="59"/>
      <c r="Q8" s="149">
        <f t="shared" ref="Q8:Q38" si="0">SUM(F8:P8)</f>
        <v>0</v>
      </c>
    </row>
    <row r="9" spans="1:17" x14ac:dyDescent="0.3">
      <c r="A9" s="3">
        <v>5</v>
      </c>
      <c r="B9" t="s">
        <v>725</v>
      </c>
      <c r="D9" s="59"/>
      <c r="F9" s="59"/>
      <c r="G9" s="59"/>
      <c r="H9" s="59"/>
      <c r="I9" s="59"/>
      <c r="J9" s="59"/>
      <c r="K9" s="59"/>
      <c r="L9" s="59"/>
      <c r="M9" s="59"/>
      <c r="N9" s="59"/>
      <c r="O9" s="59"/>
      <c r="P9" s="59"/>
      <c r="Q9" s="149">
        <f t="shared" si="0"/>
        <v>0</v>
      </c>
    </row>
    <row r="10" spans="1:17" x14ac:dyDescent="0.3">
      <c r="A10" s="3">
        <v>6</v>
      </c>
      <c r="B10" t="s">
        <v>789</v>
      </c>
      <c r="D10" s="59"/>
      <c r="F10" s="59"/>
      <c r="G10" s="59"/>
      <c r="H10" s="59"/>
      <c r="I10" s="59"/>
      <c r="J10" s="59"/>
      <c r="K10" s="59"/>
      <c r="L10" s="59"/>
      <c r="M10" s="59"/>
      <c r="N10" s="59"/>
      <c r="O10" s="59"/>
      <c r="P10" s="59"/>
      <c r="Q10" s="149">
        <f t="shared" si="0"/>
        <v>0</v>
      </c>
    </row>
    <row r="11" spans="1:17" x14ac:dyDescent="0.3">
      <c r="A11" s="3">
        <v>7</v>
      </c>
      <c r="B11" t="s">
        <v>790</v>
      </c>
      <c r="D11" s="59"/>
      <c r="F11" s="59"/>
      <c r="G11" s="59"/>
      <c r="H11" s="59"/>
      <c r="I11" s="59"/>
      <c r="J11" s="59"/>
      <c r="K11" s="59"/>
      <c r="L11" s="59"/>
      <c r="M11" s="59"/>
      <c r="N11" s="59"/>
      <c r="O11" s="59"/>
      <c r="P11" s="59"/>
      <c r="Q11" s="149">
        <f t="shared" si="0"/>
        <v>0</v>
      </c>
    </row>
    <row r="12" spans="1:17" x14ac:dyDescent="0.3">
      <c r="A12" s="3">
        <v>8</v>
      </c>
      <c r="B12" t="s">
        <v>791</v>
      </c>
      <c r="D12" s="59"/>
      <c r="F12" s="59"/>
      <c r="G12" s="59"/>
      <c r="H12" s="59"/>
      <c r="I12" s="59"/>
      <c r="J12" s="59"/>
      <c r="K12" s="59"/>
      <c r="L12" s="59"/>
      <c r="M12" s="59"/>
      <c r="N12" s="59"/>
      <c r="O12" s="59"/>
      <c r="P12" s="59"/>
      <c r="Q12" s="149">
        <f t="shared" si="0"/>
        <v>0</v>
      </c>
    </row>
    <row r="13" spans="1:17" x14ac:dyDescent="0.3">
      <c r="A13" s="3">
        <v>9</v>
      </c>
      <c r="B13" t="s">
        <v>732</v>
      </c>
      <c r="D13" s="59"/>
      <c r="F13" s="59"/>
      <c r="G13" s="59"/>
      <c r="H13" s="59"/>
      <c r="I13" s="59"/>
      <c r="J13" s="59"/>
      <c r="K13" s="59"/>
      <c r="L13" s="59"/>
      <c r="M13" s="59"/>
      <c r="N13" s="59"/>
      <c r="O13" s="59"/>
      <c r="P13" s="59"/>
      <c r="Q13" s="149">
        <f t="shared" si="0"/>
        <v>0</v>
      </c>
    </row>
    <row r="14" spans="1:17" x14ac:dyDescent="0.3">
      <c r="A14" s="3">
        <v>10</v>
      </c>
      <c r="B14" t="s">
        <v>792</v>
      </c>
      <c r="D14" s="59"/>
      <c r="F14" s="59"/>
      <c r="G14" s="59"/>
      <c r="H14" s="59"/>
      <c r="I14" s="59"/>
      <c r="J14" s="59"/>
      <c r="K14" s="59"/>
      <c r="L14" s="59"/>
      <c r="M14" s="59"/>
      <c r="N14" s="59"/>
      <c r="O14" s="59"/>
      <c r="P14" s="59"/>
      <c r="Q14" s="149">
        <f t="shared" si="0"/>
        <v>0</v>
      </c>
    </row>
    <row r="15" spans="1:17" x14ac:dyDescent="0.3">
      <c r="A15" s="3">
        <v>11</v>
      </c>
      <c r="B15" t="s">
        <v>793</v>
      </c>
      <c r="D15" s="59"/>
      <c r="F15" s="59"/>
      <c r="G15" s="59"/>
      <c r="H15" s="59"/>
      <c r="I15" s="59"/>
      <c r="J15" s="59"/>
      <c r="K15" s="59"/>
      <c r="L15" s="59"/>
      <c r="M15" s="59"/>
      <c r="N15" s="59"/>
      <c r="O15" s="59"/>
      <c r="P15" s="59"/>
      <c r="Q15" s="149">
        <f t="shared" si="0"/>
        <v>0</v>
      </c>
    </row>
    <row r="16" spans="1:17" x14ac:dyDescent="0.3">
      <c r="A16" s="3">
        <v>12</v>
      </c>
      <c r="B16" t="s">
        <v>733</v>
      </c>
      <c r="D16" s="59"/>
      <c r="F16" s="59"/>
      <c r="G16" s="59"/>
      <c r="H16" s="59"/>
      <c r="I16" s="59"/>
      <c r="J16" s="59"/>
      <c r="K16" s="59"/>
      <c r="L16" s="59"/>
      <c r="M16" s="59"/>
      <c r="N16" s="59"/>
      <c r="O16" s="59"/>
      <c r="P16" s="59"/>
      <c r="Q16" s="149">
        <f t="shared" si="0"/>
        <v>0</v>
      </c>
    </row>
    <row r="17" spans="1:17" x14ac:dyDescent="0.3">
      <c r="A17" s="3">
        <v>13</v>
      </c>
      <c r="B17" t="s">
        <v>734</v>
      </c>
      <c r="D17" s="59"/>
      <c r="F17" s="59"/>
      <c r="G17" s="59"/>
      <c r="H17" s="59"/>
      <c r="I17" s="59"/>
      <c r="J17" s="59"/>
      <c r="K17" s="59"/>
      <c r="L17" s="59"/>
      <c r="M17" s="59"/>
      <c r="N17" s="59"/>
      <c r="O17" s="59"/>
      <c r="P17" s="59"/>
      <c r="Q17" s="149">
        <f t="shared" si="0"/>
        <v>0</v>
      </c>
    </row>
    <row r="18" spans="1:17" x14ac:dyDescent="0.3">
      <c r="A18" s="3">
        <v>14</v>
      </c>
      <c r="B18" t="s">
        <v>794</v>
      </c>
      <c r="D18" s="59"/>
      <c r="F18" s="59"/>
      <c r="G18" s="59"/>
      <c r="H18" s="59"/>
      <c r="I18" s="59"/>
      <c r="J18" s="59"/>
      <c r="K18" s="59"/>
      <c r="L18" s="59"/>
      <c r="M18" s="59"/>
      <c r="N18" s="59"/>
      <c r="O18" s="59"/>
      <c r="P18" s="59"/>
      <c r="Q18" s="149">
        <f t="shared" si="0"/>
        <v>0</v>
      </c>
    </row>
    <row r="19" spans="1:17" x14ac:dyDescent="0.3">
      <c r="A19" s="3">
        <v>15</v>
      </c>
      <c r="B19" t="s">
        <v>743</v>
      </c>
      <c r="D19" s="59"/>
      <c r="F19" s="59"/>
      <c r="G19" s="59"/>
      <c r="H19" s="59"/>
      <c r="I19" s="59"/>
      <c r="J19" s="59"/>
      <c r="K19" s="59"/>
      <c r="L19" s="59"/>
      <c r="M19" s="59"/>
      <c r="N19" s="59"/>
      <c r="O19" s="59"/>
      <c r="P19" s="59"/>
      <c r="Q19" s="149">
        <f t="shared" si="0"/>
        <v>0</v>
      </c>
    </row>
    <row r="20" spans="1:17" x14ac:dyDescent="0.3">
      <c r="A20" s="3">
        <v>16</v>
      </c>
      <c r="B20" t="s">
        <v>795</v>
      </c>
      <c r="D20" s="59"/>
      <c r="F20" s="59"/>
      <c r="G20" s="59"/>
      <c r="H20" s="59"/>
      <c r="I20" s="59"/>
      <c r="J20" s="59"/>
      <c r="K20" s="59"/>
      <c r="L20" s="59"/>
      <c r="M20" s="59"/>
      <c r="N20" s="59"/>
      <c r="O20" s="59"/>
      <c r="P20" s="59"/>
      <c r="Q20" s="149">
        <f t="shared" si="0"/>
        <v>0</v>
      </c>
    </row>
    <row r="21" spans="1:17" x14ac:dyDescent="0.3">
      <c r="A21" s="3">
        <v>17</v>
      </c>
      <c r="B21" t="s">
        <v>749</v>
      </c>
      <c r="D21" s="59"/>
      <c r="F21" s="59"/>
      <c r="G21" s="59"/>
      <c r="H21" s="59"/>
      <c r="I21" s="59"/>
      <c r="J21" s="59"/>
      <c r="K21" s="59"/>
      <c r="L21" s="59"/>
      <c r="M21" s="59"/>
      <c r="N21" s="59"/>
      <c r="O21" s="59"/>
      <c r="P21" s="59"/>
      <c r="Q21" s="149">
        <f t="shared" si="0"/>
        <v>0</v>
      </c>
    </row>
    <row r="22" spans="1:17" x14ac:dyDescent="0.3">
      <c r="A22" s="3">
        <v>18</v>
      </c>
      <c r="B22" t="s">
        <v>796</v>
      </c>
      <c r="D22" s="59"/>
      <c r="F22" s="59"/>
      <c r="G22" s="59"/>
      <c r="H22" s="59"/>
      <c r="I22" s="59"/>
      <c r="J22" s="59"/>
      <c r="K22" s="59"/>
      <c r="L22" s="59"/>
      <c r="M22" s="59"/>
      <c r="N22" s="59"/>
      <c r="O22" s="59"/>
      <c r="P22" s="59"/>
      <c r="Q22" s="149">
        <f t="shared" si="0"/>
        <v>0</v>
      </c>
    </row>
    <row r="23" spans="1:17" x14ac:dyDescent="0.3">
      <c r="A23" s="3">
        <v>19</v>
      </c>
      <c r="B23" t="s">
        <v>752</v>
      </c>
      <c r="D23" s="59"/>
      <c r="F23" s="59"/>
      <c r="G23" s="59"/>
      <c r="H23" s="59"/>
      <c r="I23" s="59"/>
      <c r="J23" s="59"/>
      <c r="K23" s="59"/>
      <c r="L23" s="59"/>
      <c r="M23" s="59"/>
      <c r="N23" s="59"/>
      <c r="O23" s="59"/>
      <c r="P23" s="59"/>
      <c r="Q23" s="149">
        <f t="shared" si="0"/>
        <v>0</v>
      </c>
    </row>
    <row r="24" spans="1:17" x14ac:dyDescent="0.3">
      <c r="A24" s="3"/>
      <c r="C24" s="59"/>
      <c r="D24" s="59"/>
      <c r="F24" s="59"/>
      <c r="G24" s="59"/>
      <c r="H24" s="59"/>
      <c r="I24" s="59"/>
      <c r="J24" s="59"/>
      <c r="K24" s="59"/>
      <c r="L24" s="59"/>
      <c r="M24" s="59"/>
      <c r="N24" s="59"/>
      <c r="O24" s="59"/>
      <c r="P24" s="59"/>
      <c r="Q24" s="149">
        <f t="shared" si="0"/>
        <v>0</v>
      </c>
    </row>
    <row r="25" spans="1:17" x14ac:dyDescent="0.3">
      <c r="C25" s="59"/>
      <c r="D25" s="59"/>
      <c r="F25" s="59"/>
      <c r="G25" s="59"/>
      <c r="H25" s="59"/>
      <c r="I25" s="59"/>
      <c r="J25" s="59"/>
      <c r="K25" s="59"/>
      <c r="L25" s="59"/>
      <c r="M25" s="59"/>
      <c r="N25" s="59"/>
      <c r="O25" s="59"/>
      <c r="P25" s="59"/>
      <c r="Q25" s="149">
        <f t="shared" si="0"/>
        <v>0</v>
      </c>
    </row>
    <row r="26" spans="1:17" x14ac:dyDescent="0.3">
      <c r="C26" s="59"/>
      <c r="D26" s="59"/>
      <c r="F26" s="59"/>
      <c r="G26" s="59"/>
      <c r="H26" s="59"/>
      <c r="I26" s="59"/>
      <c r="J26" s="59"/>
      <c r="K26" s="59"/>
      <c r="L26" s="59"/>
      <c r="M26" s="59"/>
      <c r="N26" s="59"/>
      <c r="O26" s="59"/>
      <c r="P26" s="59"/>
      <c r="Q26" s="149">
        <f t="shared" si="0"/>
        <v>0</v>
      </c>
    </row>
    <row r="27" spans="1:17" x14ac:dyDescent="0.3">
      <c r="C27" s="59"/>
      <c r="D27" s="59"/>
      <c r="F27" s="59"/>
      <c r="G27" s="59"/>
      <c r="H27" s="59"/>
      <c r="I27" s="59"/>
      <c r="J27" s="59"/>
      <c r="K27" s="59"/>
      <c r="L27" s="59"/>
      <c r="M27" s="59"/>
      <c r="N27" s="59"/>
      <c r="O27" s="59"/>
      <c r="P27" s="59"/>
      <c r="Q27" s="149">
        <f t="shared" si="0"/>
        <v>0</v>
      </c>
    </row>
    <row r="28" spans="1:17" x14ac:dyDescent="0.3">
      <c r="C28" s="59"/>
      <c r="D28" s="59"/>
      <c r="F28" s="59"/>
      <c r="G28" s="59"/>
      <c r="H28" s="59"/>
      <c r="I28" s="59"/>
      <c r="J28" s="59"/>
      <c r="K28" s="59"/>
      <c r="L28" s="59"/>
      <c r="M28" s="59"/>
      <c r="N28" s="59"/>
      <c r="O28" s="59"/>
      <c r="P28" s="59"/>
      <c r="Q28" s="149">
        <f t="shared" si="0"/>
        <v>0</v>
      </c>
    </row>
    <row r="29" spans="1:17" x14ac:dyDescent="0.3">
      <c r="C29" s="59"/>
      <c r="D29" s="59"/>
      <c r="F29" s="59"/>
      <c r="G29" s="59"/>
      <c r="H29" s="59"/>
      <c r="I29" s="59"/>
      <c r="J29" s="59"/>
      <c r="K29" s="59"/>
      <c r="L29" s="59"/>
      <c r="M29" s="59"/>
      <c r="N29" s="59"/>
      <c r="O29" s="59"/>
      <c r="P29" s="59"/>
      <c r="Q29" s="149">
        <f t="shared" si="0"/>
        <v>0</v>
      </c>
    </row>
    <row r="30" spans="1:17" x14ac:dyDescent="0.3">
      <c r="C30" s="59"/>
      <c r="D30" s="59"/>
      <c r="F30" s="59"/>
      <c r="G30" s="59"/>
      <c r="H30" s="59"/>
      <c r="I30" s="59"/>
      <c r="J30" s="59"/>
      <c r="K30" s="59"/>
      <c r="L30" s="59"/>
      <c r="M30" s="59"/>
      <c r="N30" s="59"/>
      <c r="O30" s="59"/>
      <c r="P30" s="59"/>
      <c r="Q30" s="149">
        <f t="shared" si="0"/>
        <v>0</v>
      </c>
    </row>
    <row r="31" spans="1:17" x14ac:dyDescent="0.3">
      <c r="C31" s="59"/>
      <c r="D31" s="59"/>
      <c r="F31" s="59"/>
      <c r="G31" s="59"/>
      <c r="H31" s="59"/>
      <c r="I31" s="59"/>
      <c r="J31" s="59"/>
      <c r="K31" s="59"/>
      <c r="L31" s="59"/>
      <c r="M31" s="59"/>
      <c r="N31" s="59"/>
      <c r="O31" s="59"/>
      <c r="P31" s="59"/>
      <c r="Q31" s="149">
        <f t="shared" si="0"/>
        <v>0</v>
      </c>
    </row>
    <row r="32" spans="1:17" x14ac:dyDescent="0.3">
      <c r="C32" s="59"/>
      <c r="D32" s="59"/>
      <c r="F32" s="59"/>
      <c r="G32" s="59"/>
      <c r="H32" s="59"/>
      <c r="I32" s="59"/>
      <c r="J32" s="59"/>
      <c r="K32" s="59"/>
      <c r="L32" s="59"/>
      <c r="M32" s="59"/>
      <c r="N32" s="59"/>
      <c r="O32" s="59"/>
      <c r="P32" s="59"/>
      <c r="Q32" s="149">
        <f t="shared" si="0"/>
        <v>0</v>
      </c>
    </row>
    <row r="33" spans="1:17" x14ac:dyDescent="0.3">
      <c r="C33" s="59"/>
      <c r="D33" s="59"/>
      <c r="F33" s="59"/>
      <c r="G33" s="59"/>
      <c r="H33" s="59"/>
      <c r="I33" s="59"/>
      <c r="J33" s="59"/>
      <c r="K33" s="59"/>
      <c r="L33" s="59"/>
      <c r="M33" s="59"/>
      <c r="N33" s="59"/>
      <c r="O33" s="59"/>
      <c r="P33" s="59"/>
      <c r="Q33" s="149">
        <f t="shared" si="0"/>
        <v>0</v>
      </c>
    </row>
    <row r="34" spans="1:17" x14ac:dyDescent="0.3">
      <c r="C34" s="59"/>
      <c r="D34" s="59"/>
      <c r="F34" s="59"/>
      <c r="G34" s="59"/>
      <c r="H34" s="59"/>
      <c r="I34" s="59"/>
      <c r="J34" s="59"/>
      <c r="K34" s="59"/>
      <c r="L34" s="59"/>
      <c r="M34" s="59"/>
      <c r="N34" s="59"/>
      <c r="O34" s="59"/>
      <c r="P34" s="59"/>
      <c r="Q34" s="149">
        <f t="shared" si="0"/>
        <v>0</v>
      </c>
    </row>
    <row r="35" spans="1:17" x14ac:dyDescent="0.3">
      <c r="C35" s="59"/>
      <c r="D35" s="59"/>
      <c r="F35" s="59"/>
      <c r="G35" s="59"/>
      <c r="H35" s="59"/>
      <c r="I35" s="59"/>
      <c r="J35" s="59"/>
      <c r="K35" s="59"/>
      <c r="L35" s="59"/>
      <c r="M35" s="59"/>
      <c r="N35" s="59"/>
      <c r="O35" s="59"/>
      <c r="P35" s="59"/>
      <c r="Q35" s="149">
        <f t="shared" si="0"/>
        <v>0</v>
      </c>
    </row>
    <row r="36" spans="1:17" x14ac:dyDescent="0.3">
      <c r="C36" s="59"/>
      <c r="D36" s="59"/>
      <c r="F36" s="59"/>
      <c r="G36" s="59"/>
      <c r="H36" s="59"/>
      <c r="I36" s="59"/>
      <c r="J36" s="59"/>
      <c r="K36" s="59"/>
      <c r="L36" s="59"/>
      <c r="M36" s="59"/>
      <c r="N36" s="59"/>
      <c r="O36" s="59"/>
      <c r="P36" s="59"/>
      <c r="Q36" s="149">
        <f t="shared" si="0"/>
        <v>0</v>
      </c>
    </row>
    <row r="37" spans="1:17" x14ac:dyDescent="0.3">
      <c r="C37" s="59"/>
      <c r="D37" s="59"/>
      <c r="F37" s="59"/>
      <c r="G37" s="59"/>
      <c r="H37" s="59"/>
      <c r="I37" s="59"/>
      <c r="J37" s="59"/>
      <c r="K37" s="59"/>
      <c r="L37" s="59"/>
      <c r="M37" s="59"/>
      <c r="N37" s="59"/>
      <c r="O37" s="59"/>
      <c r="P37" s="59"/>
      <c r="Q37" s="149">
        <f t="shared" si="0"/>
        <v>0</v>
      </c>
    </row>
    <row r="38" spans="1:17" x14ac:dyDescent="0.3">
      <c r="C38" s="59"/>
      <c r="D38" s="59"/>
      <c r="F38" s="59"/>
      <c r="G38" s="59"/>
      <c r="H38" s="59"/>
      <c r="I38" s="59"/>
      <c r="J38" s="59"/>
      <c r="K38" s="59"/>
      <c r="L38" s="59"/>
      <c r="M38" s="59"/>
      <c r="N38" s="59"/>
      <c r="O38" s="59"/>
      <c r="P38" s="59"/>
      <c r="Q38" s="149">
        <f t="shared" si="0"/>
        <v>0</v>
      </c>
    </row>
    <row r="40" spans="1:17" x14ac:dyDescent="0.3">
      <c r="A40">
        <v>31</v>
      </c>
      <c r="B40" s="91" t="s">
        <v>756</v>
      </c>
      <c r="D40" s="150">
        <f>SUM(D7:D38)</f>
        <v>0</v>
      </c>
      <c r="E40" s="116"/>
      <c r="F40" s="149">
        <f t="shared" ref="F40:Q40" si="1">SUM(F7:F38)</f>
        <v>0</v>
      </c>
      <c r="G40" s="149">
        <f t="shared" si="1"/>
        <v>0</v>
      </c>
      <c r="H40" s="149">
        <f t="shared" si="1"/>
        <v>0</v>
      </c>
      <c r="I40" s="149">
        <f t="shared" si="1"/>
        <v>0</v>
      </c>
      <c r="J40" s="149">
        <f t="shared" si="1"/>
        <v>0</v>
      </c>
      <c r="K40" s="149">
        <f t="shared" si="1"/>
        <v>0</v>
      </c>
      <c r="L40" s="149">
        <f t="shared" si="1"/>
        <v>0</v>
      </c>
      <c r="M40" s="149">
        <f t="shared" si="1"/>
        <v>0</v>
      </c>
      <c r="N40" s="149">
        <f t="shared" si="1"/>
        <v>0</v>
      </c>
      <c r="O40" s="149">
        <f t="shared" si="1"/>
        <v>0</v>
      </c>
      <c r="P40" s="149">
        <f t="shared" si="1"/>
        <v>0</v>
      </c>
      <c r="Q40" s="150">
        <f t="shared" si="1"/>
        <v>0</v>
      </c>
    </row>
    <row r="42" spans="1:17" x14ac:dyDescent="0.3">
      <c r="P42" s="3" t="s">
        <v>658</v>
      </c>
    </row>
    <row r="43" spans="1:17" x14ac:dyDescent="0.3">
      <c r="P43" s="3" t="s">
        <v>660</v>
      </c>
      <c r="Q43" s="2"/>
    </row>
    <row r="44" spans="1:17" x14ac:dyDescent="0.3">
      <c r="Q44" s="100">
        <f>SUM(Q40:Q43)</f>
        <v>0</v>
      </c>
    </row>
    <row r="45" spans="1:17" x14ac:dyDescent="0.3">
      <c r="A45" s="34" t="s">
        <v>757</v>
      </c>
      <c r="B45" s="91" t="s">
        <v>758</v>
      </c>
      <c r="C45" s="91" t="s">
        <v>759</v>
      </c>
    </row>
    <row r="46" spans="1:17" x14ac:dyDescent="0.3">
      <c r="A46" s="4">
        <v>1</v>
      </c>
    </row>
    <row r="47" spans="1:17" x14ac:dyDescent="0.3">
      <c r="A47" s="4">
        <v>2</v>
      </c>
    </row>
    <row r="48" spans="1:17" x14ac:dyDescent="0.3">
      <c r="A48" s="4">
        <v>3</v>
      </c>
    </row>
    <row r="49" spans="1:1" x14ac:dyDescent="0.3">
      <c r="A49" s="4">
        <v>4</v>
      </c>
    </row>
    <row r="50" spans="1:1" x14ac:dyDescent="0.3">
      <c r="A50" s="4">
        <v>5</v>
      </c>
    </row>
    <row r="51" spans="1:1" x14ac:dyDescent="0.3">
      <c r="A51" s="4">
        <v>6</v>
      </c>
    </row>
    <row r="52" spans="1:1" x14ac:dyDescent="0.3">
      <c r="A52" s="4">
        <v>7</v>
      </c>
    </row>
    <row r="53" spans="1:1" x14ac:dyDescent="0.3">
      <c r="A53" s="4">
        <v>8</v>
      </c>
    </row>
    <row r="54" spans="1:1" x14ac:dyDescent="0.3">
      <c r="A54" s="4">
        <v>9</v>
      </c>
    </row>
    <row r="55" spans="1:1" x14ac:dyDescent="0.3">
      <c r="A55" s="4">
        <v>10</v>
      </c>
    </row>
  </sheetData>
  <mergeCells count="2">
    <mergeCell ref="C1:D1"/>
    <mergeCell ref="C2:D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Lists!$A$1:$A$3</xm:f>
          </x14:formula1>
          <xm:sqref>A4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4:AN142"/>
  <sheetViews>
    <sheetView topLeftCell="A106" workbookViewId="0">
      <selection activeCell="F128" sqref="F128"/>
    </sheetView>
  </sheetViews>
  <sheetFormatPr defaultRowHeight="14.4" x14ac:dyDescent="0.3"/>
  <cols>
    <col min="1" max="1" width="38.44140625" bestFit="1" customWidth="1"/>
    <col min="2" max="2" width="13.6640625" customWidth="1"/>
    <col min="3" max="3" width="16.44140625" customWidth="1"/>
    <col min="4" max="4" width="17.6640625" bestFit="1" customWidth="1"/>
    <col min="5" max="6" width="14.88671875" customWidth="1"/>
    <col min="7" max="7" width="17.6640625" bestFit="1" customWidth="1"/>
    <col min="8" max="18" width="13.6640625" customWidth="1"/>
    <col min="20" max="22" width="14.6640625" customWidth="1"/>
    <col min="24" max="24" width="23.33203125" bestFit="1" customWidth="1"/>
    <col min="25" max="25" width="17.33203125" bestFit="1" customWidth="1"/>
    <col min="26" max="26" width="11.33203125" bestFit="1" customWidth="1"/>
    <col min="27" max="27" width="17.5546875" bestFit="1" customWidth="1"/>
    <col min="28" max="28" width="15.33203125" bestFit="1" customWidth="1"/>
    <col min="39" max="40" width="0" hidden="1" customWidth="1"/>
  </cols>
  <sheetData>
    <row r="4" spans="1:40" ht="15.6" x14ac:dyDescent="0.3">
      <c r="A4" s="172" t="s">
        <v>797</v>
      </c>
      <c r="B4" s="57"/>
      <c r="E4" s="4">
        <v>2024</v>
      </c>
      <c r="F4" s="4"/>
      <c r="G4" s="4">
        <v>2023</v>
      </c>
      <c r="AM4" t="s">
        <v>798</v>
      </c>
      <c r="AN4" t="s">
        <v>799</v>
      </c>
    </row>
    <row r="5" spans="1:40" ht="15.6" x14ac:dyDescent="0.3">
      <c r="A5" s="172" t="s">
        <v>800</v>
      </c>
      <c r="B5" s="192"/>
      <c r="E5" s="152">
        <v>383900</v>
      </c>
      <c r="F5" s="116"/>
      <c r="G5" s="116">
        <v>364200</v>
      </c>
      <c r="AM5" t="s">
        <v>801</v>
      </c>
      <c r="AN5" t="s">
        <v>802</v>
      </c>
    </row>
    <row r="6" spans="1:40" ht="15.6" x14ac:dyDescent="0.3">
      <c r="A6" s="172" t="s">
        <v>803</v>
      </c>
      <c r="B6" s="196" t="str">
        <f>IF(B4="MFJ",IF(B5&gt;E5,"YES","NO"),IF(B5&gt;E6,"YES","NO"))</f>
        <v>NO</v>
      </c>
      <c r="C6" s="168"/>
      <c r="D6" s="168"/>
      <c r="E6" s="152">
        <v>191950</v>
      </c>
      <c r="F6" s="116"/>
      <c r="G6" s="116">
        <v>182100</v>
      </c>
      <c r="AM6" t="s">
        <v>804</v>
      </c>
    </row>
    <row r="7" spans="1:40" ht="15.6" x14ac:dyDescent="0.3">
      <c r="A7" s="172" t="s">
        <v>805</v>
      </c>
      <c r="B7" s="118" t="b">
        <f>IF(B6="YES",IF(B4="MFJ",B5-E5,IF(B4="MFS",B5-E6,B5-E6)))</f>
        <v>0</v>
      </c>
      <c r="C7" s="169"/>
      <c r="D7" s="169"/>
      <c r="E7" s="169"/>
      <c r="F7" s="169"/>
      <c r="G7" s="169"/>
      <c r="H7" s="169"/>
      <c r="AM7" t="s">
        <v>806</v>
      </c>
    </row>
    <row r="8" spans="1:40" ht="15.6" x14ac:dyDescent="0.3">
      <c r="A8" s="171" t="s">
        <v>807</v>
      </c>
      <c r="B8" s="197">
        <f>IF(B4="MFJ",IF(B7&gt;100000,0,B7/100000),IF(B7&gt;50000,0,B7/50000))</f>
        <v>0</v>
      </c>
      <c r="C8" s="170"/>
      <c r="D8" s="170"/>
      <c r="E8" s="170"/>
      <c r="F8" s="170"/>
      <c r="G8" s="170"/>
      <c r="H8" s="170"/>
    </row>
    <row r="10" spans="1:40" x14ac:dyDescent="0.3">
      <c r="T10" s="271" t="s">
        <v>808</v>
      </c>
      <c r="U10" s="272"/>
      <c r="V10" s="273"/>
      <c r="X10" s="271" t="s">
        <v>809</v>
      </c>
      <c r="Y10" s="272"/>
      <c r="Z10" s="272"/>
      <c r="AA10" s="272"/>
      <c r="AB10" s="273"/>
    </row>
    <row r="11" spans="1:40" x14ac:dyDescent="0.3">
      <c r="E11" s="4" t="s">
        <v>810</v>
      </c>
      <c r="T11" s="202"/>
      <c r="U11" s="4" t="s">
        <v>811</v>
      </c>
      <c r="V11" s="203"/>
      <c r="X11" s="276" t="s">
        <v>812</v>
      </c>
      <c r="Y11" s="277"/>
      <c r="Z11" s="277"/>
      <c r="AA11" s="277"/>
      <c r="AB11" s="278"/>
    </row>
    <row r="12" spans="1:40" x14ac:dyDescent="0.3">
      <c r="A12" s="4" t="s">
        <v>813</v>
      </c>
      <c r="C12" s="4"/>
      <c r="D12" s="4" t="s">
        <v>814</v>
      </c>
      <c r="E12" s="4" t="s">
        <v>815</v>
      </c>
      <c r="G12" s="4" t="s">
        <v>816</v>
      </c>
      <c r="H12" s="4"/>
      <c r="I12" s="4" t="s">
        <v>817</v>
      </c>
      <c r="J12" s="4" t="s">
        <v>818</v>
      </c>
      <c r="K12" s="4" t="s">
        <v>819</v>
      </c>
      <c r="L12" s="4" t="s">
        <v>820</v>
      </c>
      <c r="M12" s="4" t="s">
        <v>821</v>
      </c>
      <c r="N12" s="4" t="s">
        <v>822</v>
      </c>
      <c r="O12" s="4" t="s">
        <v>817</v>
      </c>
      <c r="P12" s="4" t="s">
        <v>817</v>
      </c>
      <c r="T12" s="204" t="s">
        <v>823</v>
      </c>
      <c r="U12" s="4" t="s">
        <v>824</v>
      </c>
      <c r="V12" s="203"/>
      <c r="X12" s="202"/>
      <c r="AB12" s="205"/>
    </row>
    <row r="13" spans="1:40" x14ac:dyDescent="0.3">
      <c r="A13" s="4" t="s">
        <v>825</v>
      </c>
      <c r="B13" s="4" t="s">
        <v>826</v>
      </c>
      <c r="C13" s="4" t="s">
        <v>827</v>
      </c>
      <c r="D13" s="4" t="s">
        <v>828</v>
      </c>
      <c r="E13" s="4" t="s">
        <v>829</v>
      </c>
      <c r="F13" s="4" t="s">
        <v>66</v>
      </c>
      <c r="G13" s="4" t="s">
        <v>814</v>
      </c>
      <c r="H13" s="4" t="s">
        <v>830</v>
      </c>
      <c r="I13" s="4" t="s">
        <v>827</v>
      </c>
      <c r="J13" s="4" t="s">
        <v>831</v>
      </c>
      <c r="K13" s="4" t="s">
        <v>831</v>
      </c>
      <c r="L13" s="4" t="s">
        <v>832</v>
      </c>
      <c r="M13" s="4" t="s">
        <v>833</v>
      </c>
      <c r="N13" s="4" t="s">
        <v>834</v>
      </c>
      <c r="O13" s="4" t="s">
        <v>66</v>
      </c>
      <c r="P13" s="4" t="s">
        <v>830</v>
      </c>
      <c r="Q13" s="4" t="s">
        <v>835</v>
      </c>
      <c r="R13" s="4" t="s">
        <v>836</v>
      </c>
      <c r="T13" s="204" t="s">
        <v>824</v>
      </c>
      <c r="U13" s="4" t="s">
        <v>837</v>
      </c>
      <c r="V13" s="203" t="s">
        <v>824</v>
      </c>
      <c r="X13" s="206" t="s">
        <v>838</v>
      </c>
      <c r="Y13" s="207" t="s">
        <v>839</v>
      </c>
      <c r="Z13" s="208" t="s">
        <v>840</v>
      </c>
      <c r="AA13" s="208" t="s">
        <v>841</v>
      </c>
      <c r="AB13" s="209" t="s">
        <v>842</v>
      </c>
    </row>
    <row r="14" spans="1:40" x14ac:dyDescent="0.3">
      <c r="A14" s="167"/>
      <c r="B14" s="167"/>
      <c r="C14" s="192"/>
      <c r="D14" s="192"/>
      <c r="E14" s="192"/>
      <c r="F14" s="192"/>
      <c r="G14" s="192"/>
      <c r="H14" s="192"/>
      <c r="I14" s="193">
        <f t="shared" ref="I14:I45" si="0">IF(B14="YES",(C14-E14)*(1-B8),C14-E14)</f>
        <v>0</v>
      </c>
      <c r="J14" s="193">
        <f>IF(I14&gt;0,I14,0)</f>
        <v>0</v>
      </c>
      <c r="K14" s="193">
        <f>IF(I14&lt;0,I14,0)</f>
        <v>0</v>
      </c>
      <c r="L14" s="193" t="e">
        <f>IF(K14=0,J14/$J$117*$K$117,IF(-$K$117&gt;$J$117,K14/$K$117*$J$117,-K14))</f>
        <v>#DIV/0!</v>
      </c>
      <c r="M14" s="193" t="e">
        <f>I14+L14</f>
        <v>#DIV/0!</v>
      </c>
      <c r="N14" s="193" t="e">
        <f>IF(M14&lt;0,M14,0)</f>
        <v>#DIV/0!</v>
      </c>
      <c r="O14" s="193">
        <f t="shared" ref="O14:O45" si="1">IF(B14="YES",F14*(1-B8),F14)</f>
        <v>0</v>
      </c>
      <c r="P14" s="193">
        <f t="shared" ref="P14:P45" si="2">IF(B14="YES",H14*(1-B8),H14)</f>
        <v>0</v>
      </c>
      <c r="Q14" s="193" t="e">
        <f>IF(M14&lt;0,0,0.2*M14)</f>
        <v>#DIV/0!</v>
      </c>
      <c r="R14" s="193">
        <f>IF(B14="YES", IF(O14*0.5&gt;0.25*O14+0.025*P14,O14*0.5,0.25*O14+0.025*P14),  IF(F14*0.5&gt;0.25*F14+0.025*H14,F14*0.5,0.25*F14+0.025*H14))</f>
        <v>0</v>
      </c>
      <c r="T14" s="195" t="e">
        <f>IF(B14="YES","N/A",IF($B$6="NO",Q14, "N/A"))</f>
        <v>#DIV/0!</v>
      </c>
      <c r="U14" s="195" t="str">
        <f t="shared" ref="U14:U45" si="3">IF(B14="YES",IF($B$8&gt;0,IF(R14&lt;Q14,Q14-ROUND($B$8,4)*(Q14-R14),Q14*(1-$B$8)),"N/A"),IF($B$8&gt;0,IF(R14&lt;Q14,Q14-ROUND($B$8,4)*(Q14-R14),Q14),"N/A"))</f>
        <v>N/A</v>
      </c>
      <c r="V14" s="195" t="str">
        <f t="shared" ref="V14:V45" si="4">IF(B14="YES","N/A", IF($B$4="MFJ",IF($B$5&gt;($E$5+100000),IF(Q14&lt;R14,Q14,R14),"N/A"),IF($B$5&gt;($E$6+50000),IF(Q14&lt;R14,Q14,R14),"N/A")))</f>
        <v>N/A</v>
      </c>
      <c r="X14" s="210">
        <f>D14</f>
        <v>0</v>
      </c>
      <c r="Y14" s="211">
        <f>X14*0.09</f>
        <v>0</v>
      </c>
      <c r="Z14" s="211">
        <f>G14</f>
        <v>0</v>
      </c>
      <c r="AA14" s="211">
        <f>0.5*Z14</f>
        <v>0</v>
      </c>
      <c r="AB14" s="211">
        <f>IF(Y14&lt;AA14,Y14,AA14)</f>
        <v>0</v>
      </c>
    </row>
    <row r="15" spans="1:40" x14ac:dyDescent="0.3">
      <c r="A15" s="167"/>
      <c r="B15" s="167"/>
      <c r="C15" s="192"/>
      <c r="D15" s="192"/>
      <c r="E15" s="192"/>
      <c r="F15" s="192"/>
      <c r="G15" s="192"/>
      <c r="H15" s="192"/>
      <c r="I15" s="193">
        <f t="shared" si="0"/>
        <v>0</v>
      </c>
      <c r="J15" s="193">
        <f>IF(I15&gt;0,I15,0)</f>
        <v>0</v>
      </c>
      <c r="K15" s="193">
        <f>IF(I15&lt;0,I15,0)</f>
        <v>0</v>
      </c>
      <c r="L15" s="193" t="e">
        <f t="shared" ref="L15:L78" si="5">IF(K15=0,IF($I$118="QBL",-J15,J15/$J$117*$K$117),IF($I$118="QBL",$J$117/$K$117*K15,-K15/$K$117*K15))</f>
        <v>#DIV/0!</v>
      </c>
      <c r="M15" s="193" t="e">
        <f>I15+L15</f>
        <v>#DIV/0!</v>
      </c>
      <c r="N15" s="193" t="e">
        <f t="shared" ref="N15:N78" si="6">IF(M15&lt;0,M15,0)</f>
        <v>#DIV/0!</v>
      </c>
      <c r="O15" s="193">
        <f t="shared" si="1"/>
        <v>0</v>
      </c>
      <c r="P15" s="193">
        <f t="shared" si="2"/>
        <v>0</v>
      </c>
      <c r="Q15" s="193" t="e">
        <f>IF(M15&lt;0,0,0.2*M15)</f>
        <v>#DIV/0!</v>
      </c>
      <c r="R15" s="193">
        <f t="shared" ref="R15:R46" si="7">IF(F15*0.5&gt;0.25*F15+0.025*H15,F15*0.5,0.25*F15+0.025*H15)</f>
        <v>0</v>
      </c>
      <c r="T15" s="195" t="e">
        <f t="shared" ref="T15:T114" si="8">IF($B$6="NO",Q15, "N/A")</f>
        <v>#DIV/0!</v>
      </c>
      <c r="U15" s="195" t="str">
        <f t="shared" si="3"/>
        <v>N/A</v>
      </c>
      <c r="V15" s="195" t="str">
        <f t="shared" si="4"/>
        <v>N/A</v>
      </c>
      <c r="X15" s="211">
        <f t="shared" ref="X15:X78" si="9">D15</f>
        <v>0</v>
      </c>
      <c r="Y15" s="211">
        <f t="shared" ref="Y15:Y78" si="10">X15*0.09</f>
        <v>0</v>
      </c>
      <c r="Z15" s="211">
        <f t="shared" ref="Z15:Z78" si="11">G15</f>
        <v>0</v>
      </c>
      <c r="AA15" s="211">
        <f t="shared" ref="AA15:AA78" si="12">0.5*Z15</f>
        <v>0</v>
      </c>
      <c r="AB15" s="211">
        <f t="shared" ref="AB15:AB78" si="13">IF(Y15&lt;AA15,Y15,AA15)</f>
        <v>0</v>
      </c>
    </row>
    <row r="16" spans="1:40" x14ac:dyDescent="0.3">
      <c r="A16" s="167"/>
      <c r="B16" s="167"/>
      <c r="C16" s="192"/>
      <c r="D16" s="192"/>
      <c r="E16" s="192"/>
      <c r="F16" s="192"/>
      <c r="G16" s="192"/>
      <c r="H16" s="192"/>
      <c r="I16" s="193">
        <f t="shared" si="0"/>
        <v>0</v>
      </c>
      <c r="J16" s="193">
        <f t="shared" ref="J16:J114" si="14">IF(I16&gt;0,I16,0)</f>
        <v>0</v>
      </c>
      <c r="K16" s="193">
        <f t="shared" ref="K16:K114" si="15">IF(I16&lt;0,I16,0)</f>
        <v>0</v>
      </c>
      <c r="L16" s="193" t="e">
        <f t="shared" si="5"/>
        <v>#DIV/0!</v>
      </c>
      <c r="M16" s="193" t="e">
        <f t="shared" ref="M16:M114" si="16">I16+L16</f>
        <v>#DIV/0!</v>
      </c>
      <c r="N16" s="193" t="e">
        <f t="shared" si="6"/>
        <v>#DIV/0!</v>
      </c>
      <c r="O16" s="193">
        <f t="shared" si="1"/>
        <v>0</v>
      </c>
      <c r="P16" s="193">
        <f t="shared" si="2"/>
        <v>0</v>
      </c>
      <c r="Q16" s="193" t="e">
        <f t="shared" ref="Q16:Q114" si="17">IF(M16&lt;0,0,0.2*M16)</f>
        <v>#DIV/0!</v>
      </c>
      <c r="R16" s="193">
        <f t="shared" si="7"/>
        <v>0</v>
      </c>
      <c r="T16" s="195" t="e">
        <f t="shared" si="8"/>
        <v>#DIV/0!</v>
      </c>
      <c r="U16" s="195" t="str">
        <f t="shared" si="3"/>
        <v>N/A</v>
      </c>
      <c r="V16" s="195" t="str">
        <f t="shared" si="4"/>
        <v>N/A</v>
      </c>
      <c r="X16" s="211">
        <f t="shared" si="9"/>
        <v>0</v>
      </c>
      <c r="Y16" s="211">
        <f t="shared" si="10"/>
        <v>0</v>
      </c>
      <c r="Z16" s="211">
        <f t="shared" si="11"/>
        <v>0</v>
      </c>
      <c r="AA16" s="211">
        <f t="shared" si="12"/>
        <v>0</v>
      </c>
      <c r="AB16" s="211">
        <f t="shared" si="13"/>
        <v>0</v>
      </c>
    </row>
    <row r="17" spans="1:28" x14ac:dyDescent="0.3">
      <c r="A17" s="167"/>
      <c r="B17" s="167"/>
      <c r="C17" s="192"/>
      <c r="D17" s="192"/>
      <c r="E17" s="192"/>
      <c r="F17" s="192"/>
      <c r="G17" s="192"/>
      <c r="H17" s="192"/>
      <c r="I17" s="193">
        <f t="shared" si="0"/>
        <v>0</v>
      </c>
      <c r="J17" s="193">
        <f t="shared" si="14"/>
        <v>0</v>
      </c>
      <c r="K17" s="193">
        <f t="shared" si="15"/>
        <v>0</v>
      </c>
      <c r="L17" s="193" t="e">
        <f t="shared" si="5"/>
        <v>#DIV/0!</v>
      </c>
      <c r="M17" s="193" t="e">
        <f t="shared" si="16"/>
        <v>#DIV/0!</v>
      </c>
      <c r="N17" s="193" t="e">
        <f t="shared" si="6"/>
        <v>#DIV/0!</v>
      </c>
      <c r="O17" s="193">
        <f t="shared" si="1"/>
        <v>0</v>
      </c>
      <c r="P17" s="193">
        <f t="shared" si="2"/>
        <v>0</v>
      </c>
      <c r="Q17" s="193" t="e">
        <f t="shared" si="17"/>
        <v>#DIV/0!</v>
      </c>
      <c r="R17" s="193">
        <f t="shared" si="7"/>
        <v>0</v>
      </c>
      <c r="T17" s="195" t="e">
        <f t="shared" si="8"/>
        <v>#DIV/0!</v>
      </c>
      <c r="U17" s="195" t="str">
        <f t="shared" si="3"/>
        <v>N/A</v>
      </c>
      <c r="V17" s="195" t="str">
        <f t="shared" si="4"/>
        <v>N/A</v>
      </c>
      <c r="X17" s="211">
        <f t="shared" si="9"/>
        <v>0</v>
      </c>
      <c r="Y17" s="211">
        <f t="shared" si="10"/>
        <v>0</v>
      </c>
      <c r="Z17" s="211">
        <f t="shared" si="11"/>
        <v>0</v>
      </c>
      <c r="AA17" s="211">
        <f t="shared" si="12"/>
        <v>0</v>
      </c>
      <c r="AB17" s="211">
        <f t="shared" si="13"/>
        <v>0</v>
      </c>
    </row>
    <row r="18" spans="1:28" x14ac:dyDescent="0.3">
      <c r="A18" s="167"/>
      <c r="B18" s="167"/>
      <c r="C18" s="192"/>
      <c r="D18" s="192"/>
      <c r="E18" s="192"/>
      <c r="F18" s="192"/>
      <c r="G18" s="192"/>
      <c r="H18" s="192"/>
      <c r="I18" s="193">
        <f t="shared" si="0"/>
        <v>0</v>
      </c>
      <c r="J18" s="193">
        <f t="shared" si="14"/>
        <v>0</v>
      </c>
      <c r="K18" s="193">
        <f t="shared" si="15"/>
        <v>0</v>
      </c>
      <c r="L18" s="193" t="e">
        <f t="shared" si="5"/>
        <v>#DIV/0!</v>
      </c>
      <c r="M18" s="193" t="e">
        <f t="shared" si="16"/>
        <v>#DIV/0!</v>
      </c>
      <c r="N18" s="193" t="e">
        <f t="shared" si="6"/>
        <v>#DIV/0!</v>
      </c>
      <c r="O18" s="193">
        <f t="shared" si="1"/>
        <v>0</v>
      </c>
      <c r="P18" s="193">
        <f t="shared" si="2"/>
        <v>0</v>
      </c>
      <c r="Q18" s="193" t="e">
        <f t="shared" si="17"/>
        <v>#DIV/0!</v>
      </c>
      <c r="R18" s="193">
        <f t="shared" si="7"/>
        <v>0</v>
      </c>
      <c r="T18" s="195" t="e">
        <f t="shared" si="8"/>
        <v>#DIV/0!</v>
      </c>
      <c r="U18" s="195" t="str">
        <f t="shared" si="3"/>
        <v>N/A</v>
      </c>
      <c r="V18" s="195" t="str">
        <f t="shared" si="4"/>
        <v>N/A</v>
      </c>
      <c r="X18" s="211">
        <f t="shared" si="9"/>
        <v>0</v>
      </c>
      <c r="Y18" s="211">
        <f t="shared" si="10"/>
        <v>0</v>
      </c>
      <c r="Z18" s="211">
        <f t="shared" si="11"/>
        <v>0</v>
      </c>
      <c r="AA18" s="211">
        <f t="shared" si="12"/>
        <v>0</v>
      </c>
      <c r="AB18" s="211">
        <f t="shared" si="13"/>
        <v>0</v>
      </c>
    </row>
    <row r="19" spans="1:28" x14ac:dyDescent="0.3">
      <c r="A19" s="167"/>
      <c r="B19" s="167"/>
      <c r="C19" s="192"/>
      <c r="D19" s="192"/>
      <c r="E19" s="192"/>
      <c r="F19" s="192"/>
      <c r="G19" s="192"/>
      <c r="H19" s="192"/>
      <c r="I19" s="193">
        <f t="shared" si="0"/>
        <v>0</v>
      </c>
      <c r="J19" s="193">
        <f t="shared" si="14"/>
        <v>0</v>
      </c>
      <c r="K19" s="193">
        <f t="shared" si="15"/>
        <v>0</v>
      </c>
      <c r="L19" s="193" t="e">
        <f t="shared" si="5"/>
        <v>#DIV/0!</v>
      </c>
      <c r="M19" s="193" t="e">
        <f t="shared" si="16"/>
        <v>#DIV/0!</v>
      </c>
      <c r="N19" s="193" t="e">
        <f t="shared" si="6"/>
        <v>#DIV/0!</v>
      </c>
      <c r="O19" s="193">
        <f t="shared" si="1"/>
        <v>0</v>
      </c>
      <c r="P19" s="193">
        <f t="shared" si="2"/>
        <v>0</v>
      </c>
      <c r="Q19" s="193" t="e">
        <f t="shared" si="17"/>
        <v>#DIV/0!</v>
      </c>
      <c r="R19" s="193">
        <f t="shared" si="7"/>
        <v>0</v>
      </c>
      <c r="T19" s="195" t="e">
        <f t="shared" si="8"/>
        <v>#DIV/0!</v>
      </c>
      <c r="U19" s="195" t="str">
        <f t="shared" si="3"/>
        <v>N/A</v>
      </c>
      <c r="V19" s="195" t="str">
        <f t="shared" si="4"/>
        <v>N/A</v>
      </c>
      <c r="X19" s="211">
        <f t="shared" si="9"/>
        <v>0</v>
      </c>
      <c r="Y19" s="211">
        <f t="shared" si="10"/>
        <v>0</v>
      </c>
      <c r="Z19" s="211">
        <f t="shared" si="11"/>
        <v>0</v>
      </c>
      <c r="AA19" s="211">
        <f t="shared" si="12"/>
        <v>0</v>
      </c>
      <c r="AB19" s="211">
        <f t="shared" si="13"/>
        <v>0</v>
      </c>
    </row>
    <row r="20" spans="1:28" x14ac:dyDescent="0.3">
      <c r="A20" s="167"/>
      <c r="B20" s="167"/>
      <c r="C20" s="192"/>
      <c r="D20" s="192"/>
      <c r="E20" s="192"/>
      <c r="F20" s="192"/>
      <c r="G20" s="192"/>
      <c r="H20" s="192"/>
      <c r="I20" s="193">
        <f t="shared" si="0"/>
        <v>0</v>
      </c>
      <c r="J20" s="193">
        <f t="shared" si="14"/>
        <v>0</v>
      </c>
      <c r="K20" s="193">
        <f t="shared" si="15"/>
        <v>0</v>
      </c>
      <c r="L20" s="193" t="e">
        <f t="shared" si="5"/>
        <v>#DIV/0!</v>
      </c>
      <c r="M20" s="193" t="e">
        <f t="shared" si="16"/>
        <v>#DIV/0!</v>
      </c>
      <c r="N20" s="193" t="e">
        <f t="shared" si="6"/>
        <v>#DIV/0!</v>
      </c>
      <c r="O20" s="193">
        <f t="shared" si="1"/>
        <v>0</v>
      </c>
      <c r="P20" s="193">
        <f t="shared" si="2"/>
        <v>0</v>
      </c>
      <c r="Q20" s="193" t="e">
        <f t="shared" si="17"/>
        <v>#DIV/0!</v>
      </c>
      <c r="R20" s="193">
        <f t="shared" si="7"/>
        <v>0</v>
      </c>
      <c r="T20" s="195" t="e">
        <f t="shared" si="8"/>
        <v>#DIV/0!</v>
      </c>
      <c r="U20" s="195" t="str">
        <f t="shared" si="3"/>
        <v>N/A</v>
      </c>
      <c r="V20" s="195" t="str">
        <f t="shared" si="4"/>
        <v>N/A</v>
      </c>
      <c r="X20" s="211">
        <f t="shared" si="9"/>
        <v>0</v>
      </c>
      <c r="Y20" s="211">
        <f t="shared" si="10"/>
        <v>0</v>
      </c>
      <c r="Z20" s="211">
        <f t="shared" si="11"/>
        <v>0</v>
      </c>
      <c r="AA20" s="211">
        <f t="shared" si="12"/>
        <v>0</v>
      </c>
      <c r="AB20" s="211">
        <f t="shared" si="13"/>
        <v>0</v>
      </c>
    </row>
    <row r="21" spans="1:28" x14ac:dyDescent="0.3">
      <c r="A21" s="167"/>
      <c r="B21" s="167"/>
      <c r="C21" s="192"/>
      <c r="D21" s="192"/>
      <c r="E21" s="192"/>
      <c r="F21" s="192"/>
      <c r="G21" s="192"/>
      <c r="H21" s="192"/>
      <c r="I21" s="193">
        <f t="shared" si="0"/>
        <v>0</v>
      </c>
      <c r="J21" s="193">
        <f t="shared" si="14"/>
        <v>0</v>
      </c>
      <c r="K21" s="193">
        <f t="shared" si="15"/>
        <v>0</v>
      </c>
      <c r="L21" s="193" t="e">
        <f t="shared" si="5"/>
        <v>#DIV/0!</v>
      </c>
      <c r="M21" s="193" t="e">
        <f t="shared" si="16"/>
        <v>#DIV/0!</v>
      </c>
      <c r="N21" s="193" t="e">
        <f t="shared" si="6"/>
        <v>#DIV/0!</v>
      </c>
      <c r="O21" s="193">
        <f t="shared" si="1"/>
        <v>0</v>
      </c>
      <c r="P21" s="193">
        <f t="shared" si="2"/>
        <v>0</v>
      </c>
      <c r="Q21" s="193" t="e">
        <f t="shared" si="17"/>
        <v>#DIV/0!</v>
      </c>
      <c r="R21" s="193">
        <f t="shared" si="7"/>
        <v>0</v>
      </c>
      <c r="T21" s="195" t="e">
        <f t="shared" si="8"/>
        <v>#DIV/0!</v>
      </c>
      <c r="U21" s="195" t="str">
        <f t="shared" si="3"/>
        <v>N/A</v>
      </c>
      <c r="V21" s="195" t="str">
        <f t="shared" si="4"/>
        <v>N/A</v>
      </c>
      <c r="X21" s="211">
        <f t="shared" si="9"/>
        <v>0</v>
      </c>
      <c r="Y21" s="211">
        <f t="shared" si="10"/>
        <v>0</v>
      </c>
      <c r="Z21" s="211">
        <f t="shared" si="11"/>
        <v>0</v>
      </c>
      <c r="AA21" s="211">
        <f t="shared" si="12"/>
        <v>0</v>
      </c>
      <c r="AB21" s="211">
        <f t="shared" si="13"/>
        <v>0</v>
      </c>
    </row>
    <row r="22" spans="1:28" x14ac:dyDescent="0.3">
      <c r="A22" s="167"/>
      <c r="B22" s="167"/>
      <c r="C22" s="192"/>
      <c r="D22" s="192"/>
      <c r="E22" s="192"/>
      <c r="F22" s="192"/>
      <c r="G22" s="192"/>
      <c r="H22" s="192"/>
      <c r="I22" s="193">
        <f t="shared" si="0"/>
        <v>0</v>
      </c>
      <c r="J22" s="193">
        <f t="shared" si="14"/>
        <v>0</v>
      </c>
      <c r="K22" s="193">
        <f t="shared" si="15"/>
        <v>0</v>
      </c>
      <c r="L22" s="193" t="e">
        <f t="shared" si="5"/>
        <v>#DIV/0!</v>
      </c>
      <c r="M22" s="193" t="e">
        <f t="shared" si="16"/>
        <v>#DIV/0!</v>
      </c>
      <c r="N22" s="193" t="e">
        <f t="shared" si="6"/>
        <v>#DIV/0!</v>
      </c>
      <c r="O22" s="193">
        <f t="shared" si="1"/>
        <v>0</v>
      </c>
      <c r="P22" s="193">
        <f t="shared" si="2"/>
        <v>0</v>
      </c>
      <c r="Q22" s="193" t="e">
        <f t="shared" si="17"/>
        <v>#DIV/0!</v>
      </c>
      <c r="R22" s="193">
        <f t="shared" si="7"/>
        <v>0</v>
      </c>
      <c r="T22" s="195" t="e">
        <f t="shared" si="8"/>
        <v>#DIV/0!</v>
      </c>
      <c r="U22" s="195" t="str">
        <f t="shared" si="3"/>
        <v>N/A</v>
      </c>
      <c r="V22" s="195" t="str">
        <f t="shared" si="4"/>
        <v>N/A</v>
      </c>
      <c r="X22" s="211">
        <f t="shared" si="9"/>
        <v>0</v>
      </c>
      <c r="Y22" s="211">
        <f t="shared" si="10"/>
        <v>0</v>
      </c>
      <c r="Z22" s="211">
        <f t="shared" si="11"/>
        <v>0</v>
      </c>
      <c r="AA22" s="211">
        <f t="shared" si="12"/>
        <v>0</v>
      </c>
      <c r="AB22" s="211">
        <f t="shared" si="13"/>
        <v>0</v>
      </c>
    </row>
    <row r="23" spans="1:28" x14ac:dyDescent="0.3">
      <c r="A23" s="167"/>
      <c r="B23" s="167"/>
      <c r="C23" s="192"/>
      <c r="D23" s="192"/>
      <c r="E23" s="192"/>
      <c r="F23" s="192"/>
      <c r="G23" s="192"/>
      <c r="H23" s="192"/>
      <c r="I23" s="193">
        <f t="shared" si="0"/>
        <v>0</v>
      </c>
      <c r="J23" s="193">
        <f t="shared" si="14"/>
        <v>0</v>
      </c>
      <c r="K23" s="193">
        <f t="shared" si="15"/>
        <v>0</v>
      </c>
      <c r="L23" s="193" t="e">
        <f t="shared" si="5"/>
        <v>#DIV/0!</v>
      </c>
      <c r="M23" s="193" t="e">
        <f t="shared" si="16"/>
        <v>#DIV/0!</v>
      </c>
      <c r="N23" s="193" t="e">
        <f t="shared" si="6"/>
        <v>#DIV/0!</v>
      </c>
      <c r="O23" s="193">
        <f t="shared" si="1"/>
        <v>0</v>
      </c>
      <c r="P23" s="193">
        <f t="shared" si="2"/>
        <v>0</v>
      </c>
      <c r="Q23" s="193" t="e">
        <f t="shared" si="17"/>
        <v>#DIV/0!</v>
      </c>
      <c r="R23" s="193">
        <f t="shared" si="7"/>
        <v>0</v>
      </c>
      <c r="T23" s="195" t="e">
        <f t="shared" si="8"/>
        <v>#DIV/0!</v>
      </c>
      <c r="U23" s="195" t="str">
        <f t="shared" si="3"/>
        <v>N/A</v>
      </c>
      <c r="V23" s="195" t="str">
        <f t="shared" si="4"/>
        <v>N/A</v>
      </c>
      <c r="X23" s="211">
        <f t="shared" si="9"/>
        <v>0</v>
      </c>
      <c r="Y23" s="211">
        <f t="shared" si="10"/>
        <v>0</v>
      </c>
      <c r="Z23" s="211">
        <f t="shared" si="11"/>
        <v>0</v>
      </c>
      <c r="AA23" s="211">
        <f t="shared" si="12"/>
        <v>0</v>
      </c>
      <c r="AB23" s="211">
        <f t="shared" si="13"/>
        <v>0</v>
      </c>
    </row>
    <row r="24" spans="1:28" x14ac:dyDescent="0.3">
      <c r="A24" s="167"/>
      <c r="B24" s="167"/>
      <c r="C24" s="192"/>
      <c r="D24" s="192"/>
      <c r="E24" s="192"/>
      <c r="F24" s="192"/>
      <c r="G24" s="192"/>
      <c r="H24" s="192"/>
      <c r="I24" s="193">
        <f t="shared" si="0"/>
        <v>0</v>
      </c>
      <c r="J24" s="193">
        <f t="shared" si="14"/>
        <v>0</v>
      </c>
      <c r="K24" s="193">
        <f t="shared" si="15"/>
        <v>0</v>
      </c>
      <c r="L24" s="193" t="e">
        <f t="shared" si="5"/>
        <v>#DIV/0!</v>
      </c>
      <c r="M24" s="193" t="e">
        <f t="shared" si="16"/>
        <v>#DIV/0!</v>
      </c>
      <c r="N24" s="193" t="e">
        <f t="shared" si="6"/>
        <v>#DIV/0!</v>
      </c>
      <c r="O24" s="193">
        <f t="shared" si="1"/>
        <v>0</v>
      </c>
      <c r="P24" s="193">
        <f t="shared" si="2"/>
        <v>0</v>
      </c>
      <c r="Q24" s="193" t="e">
        <f t="shared" si="17"/>
        <v>#DIV/0!</v>
      </c>
      <c r="R24" s="193">
        <f t="shared" si="7"/>
        <v>0</v>
      </c>
      <c r="T24" s="195" t="e">
        <f t="shared" si="8"/>
        <v>#DIV/0!</v>
      </c>
      <c r="U24" s="195" t="str">
        <f t="shared" si="3"/>
        <v>N/A</v>
      </c>
      <c r="V24" s="195" t="str">
        <f t="shared" si="4"/>
        <v>N/A</v>
      </c>
      <c r="X24" s="211">
        <f t="shared" si="9"/>
        <v>0</v>
      </c>
      <c r="Y24" s="211">
        <f t="shared" si="10"/>
        <v>0</v>
      </c>
      <c r="Z24" s="211">
        <f t="shared" si="11"/>
        <v>0</v>
      </c>
      <c r="AA24" s="211">
        <f t="shared" si="12"/>
        <v>0</v>
      </c>
      <c r="AB24" s="211">
        <f t="shared" si="13"/>
        <v>0</v>
      </c>
    </row>
    <row r="25" spans="1:28" x14ac:dyDescent="0.3">
      <c r="A25" s="167"/>
      <c r="B25" s="167"/>
      <c r="C25" s="192"/>
      <c r="D25" s="192"/>
      <c r="E25" s="192"/>
      <c r="F25" s="192"/>
      <c r="G25" s="192"/>
      <c r="H25" s="192"/>
      <c r="I25" s="193">
        <f t="shared" si="0"/>
        <v>0</v>
      </c>
      <c r="J25" s="193">
        <f t="shared" si="14"/>
        <v>0</v>
      </c>
      <c r="K25" s="193">
        <f t="shared" si="15"/>
        <v>0</v>
      </c>
      <c r="L25" s="193" t="e">
        <f t="shared" si="5"/>
        <v>#DIV/0!</v>
      </c>
      <c r="M25" s="193" t="e">
        <f t="shared" si="16"/>
        <v>#DIV/0!</v>
      </c>
      <c r="N25" s="193" t="e">
        <f t="shared" si="6"/>
        <v>#DIV/0!</v>
      </c>
      <c r="O25" s="193">
        <f t="shared" si="1"/>
        <v>0</v>
      </c>
      <c r="P25" s="193">
        <f t="shared" si="2"/>
        <v>0</v>
      </c>
      <c r="Q25" s="193" t="e">
        <f t="shared" si="17"/>
        <v>#DIV/0!</v>
      </c>
      <c r="R25" s="193">
        <f t="shared" si="7"/>
        <v>0</v>
      </c>
      <c r="T25" s="195" t="e">
        <f t="shared" si="8"/>
        <v>#DIV/0!</v>
      </c>
      <c r="U25" s="195" t="str">
        <f t="shared" si="3"/>
        <v>N/A</v>
      </c>
      <c r="V25" s="195" t="str">
        <f t="shared" si="4"/>
        <v>N/A</v>
      </c>
      <c r="X25" s="211">
        <f t="shared" si="9"/>
        <v>0</v>
      </c>
      <c r="Y25" s="211">
        <f t="shared" si="10"/>
        <v>0</v>
      </c>
      <c r="Z25" s="211">
        <f t="shared" si="11"/>
        <v>0</v>
      </c>
      <c r="AA25" s="211">
        <f t="shared" si="12"/>
        <v>0</v>
      </c>
      <c r="AB25" s="211">
        <f t="shared" si="13"/>
        <v>0</v>
      </c>
    </row>
    <row r="26" spans="1:28" x14ac:dyDescent="0.3">
      <c r="A26" s="167"/>
      <c r="B26" s="167"/>
      <c r="C26" s="192"/>
      <c r="D26" s="192"/>
      <c r="E26" s="192"/>
      <c r="F26" s="192"/>
      <c r="G26" s="192"/>
      <c r="H26" s="192"/>
      <c r="I26" s="193">
        <f t="shared" si="0"/>
        <v>0</v>
      </c>
      <c r="J26" s="193">
        <f t="shared" si="14"/>
        <v>0</v>
      </c>
      <c r="K26" s="193">
        <f t="shared" si="15"/>
        <v>0</v>
      </c>
      <c r="L26" s="193" t="e">
        <f t="shared" si="5"/>
        <v>#DIV/0!</v>
      </c>
      <c r="M26" s="193" t="e">
        <f t="shared" si="16"/>
        <v>#DIV/0!</v>
      </c>
      <c r="N26" s="193" t="e">
        <f t="shared" si="6"/>
        <v>#DIV/0!</v>
      </c>
      <c r="O26" s="193">
        <f t="shared" si="1"/>
        <v>0</v>
      </c>
      <c r="P26" s="193">
        <f t="shared" si="2"/>
        <v>0</v>
      </c>
      <c r="Q26" s="193" t="e">
        <f t="shared" si="17"/>
        <v>#DIV/0!</v>
      </c>
      <c r="R26" s="193">
        <f t="shared" si="7"/>
        <v>0</v>
      </c>
      <c r="T26" s="195" t="e">
        <f t="shared" si="8"/>
        <v>#DIV/0!</v>
      </c>
      <c r="U26" s="195" t="str">
        <f t="shared" si="3"/>
        <v>N/A</v>
      </c>
      <c r="V26" s="195" t="str">
        <f t="shared" si="4"/>
        <v>N/A</v>
      </c>
      <c r="X26" s="211">
        <f t="shared" si="9"/>
        <v>0</v>
      </c>
      <c r="Y26" s="211">
        <f t="shared" si="10"/>
        <v>0</v>
      </c>
      <c r="Z26" s="211">
        <f t="shared" si="11"/>
        <v>0</v>
      </c>
      <c r="AA26" s="211">
        <f t="shared" si="12"/>
        <v>0</v>
      </c>
      <c r="AB26" s="211">
        <f t="shared" si="13"/>
        <v>0</v>
      </c>
    </row>
    <row r="27" spans="1:28" x14ac:dyDescent="0.3">
      <c r="A27" s="167"/>
      <c r="B27" s="167"/>
      <c r="C27" s="192"/>
      <c r="D27" s="192"/>
      <c r="E27" s="192"/>
      <c r="F27" s="192"/>
      <c r="G27" s="192"/>
      <c r="H27" s="192"/>
      <c r="I27" s="193">
        <f t="shared" si="0"/>
        <v>0</v>
      </c>
      <c r="J27" s="193">
        <f t="shared" si="14"/>
        <v>0</v>
      </c>
      <c r="K27" s="193">
        <f t="shared" si="15"/>
        <v>0</v>
      </c>
      <c r="L27" s="193" t="e">
        <f t="shared" si="5"/>
        <v>#DIV/0!</v>
      </c>
      <c r="M27" s="193" t="e">
        <f t="shared" si="16"/>
        <v>#DIV/0!</v>
      </c>
      <c r="N27" s="193" t="e">
        <f t="shared" si="6"/>
        <v>#DIV/0!</v>
      </c>
      <c r="O27" s="193">
        <f t="shared" si="1"/>
        <v>0</v>
      </c>
      <c r="P27" s="193">
        <f t="shared" si="2"/>
        <v>0</v>
      </c>
      <c r="Q27" s="193" t="e">
        <f t="shared" si="17"/>
        <v>#DIV/0!</v>
      </c>
      <c r="R27" s="193">
        <f t="shared" si="7"/>
        <v>0</v>
      </c>
      <c r="T27" s="195" t="e">
        <f t="shared" si="8"/>
        <v>#DIV/0!</v>
      </c>
      <c r="U27" s="195" t="str">
        <f t="shared" si="3"/>
        <v>N/A</v>
      </c>
      <c r="V27" s="195" t="str">
        <f t="shared" si="4"/>
        <v>N/A</v>
      </c>
      <c r="X27" s="211">
        <f t="shared" si="9"/>
        <v>0</v>
      </c>
      <c r="Y27" s="211">
        <f t="shared" si="10"/>
        <v>0</v>
      </c>
      <c r="Z27" s="211">
        <f t="shared" si="11"/>
        <v>0</v>
      </c>
      <c r="AA27" s="211">
        <f t="shared" si="12"/>
        <v>0</v>
      </c>
      <c r="AB27" s="211">
        <f t="shared" si="13"/>
        <v>0</v>
      </c>
    </row>
    <row r="28" spans="1:28" x14ac:dyDescent="0.3">
      <c r="A28" s="167"/>
      <c r="B28" s="167"/>
      <c r="C28" s="192"/>
      <c r="D28" s="192"/>
      <c r="E28" s="192"/>
      <c r="F28" s="192"/>
      <c r="G28" s="192"/>
      <c r="H28" s="192"/>
      <c r="I28" s="193">
        <f t="shared" si="0"/>
        <v>0</v>
      </c>
      <c r="J28" s="193">
        <f t="shared" si="14"/>
        <v>0</v>
      </c>
      <c r="K28" s="193">
        <f t="shared" si="15"/>
        <v>0</v>
      </c>
      <c r="L28" s="193" t="e">
        <f t="shared" si="5"/>
        <v>#DIV/0!</v>
      </c>
      <c r="M28" s="193" t="e">
        <f t="shared" si="16"/>
        <v>#DIV/0!</v>
      </c>
      <c r="N28" s="193" t="e">
        <f t="shared" si="6"/>
        <v>#DIV/0!</v>
      </c>
      <c r="O28" s="193">
        <f t="shared" si="1"/>
        <v>0</v>
      </c>
      <c r="P28" s="193">
        <f t="shared" si="2"/>
        <v>0</v>
      </c>
      <c r="Q28" s="193" t="e">
        <f t="shared" si="17"/>
        <v>#DIV/0!</v>
      </c>
      <c r="R28" s="193">
        <f t="shared" si="7"/>
        <v>0</v>
      </c>
      <c r="T28" s="195" t="e">
        <f t="shared" si="8"/>
        <v>#DIV/0!</v>
      </c>
      <c r="U28" s="195" t="str">
        <f t="shared" si="3"/>
        <v>N/A</v>
      </c>
      <c r="V28" s="195" t="str">
        <f t="shared" si="4"/>
        <v>N/A</v>
      </c>
      <c r="X28" s="211">
        <f t="shared" si="9"/>
        <v>0</v>
      </c>
      <c r="Y28" s="211">
        <f t="shared" si="10"/>
        <v>0</v>
      </c>
      <c r="Z28" s="211">
        <f t="shared" si="11"/>
        <v>0</v>
      </c>
      <c r="AA28" s="211">
        <f t="shared" si="12"/>
        <v>0</v>
      </c>
      <c r="AB28" s="211">
        <f t="shared" si="13"/>
        <v>0</v>
      </c>
    </row>
    <row r="29" spans="1:28" x14ac:dyDescent="0.3">
      <c r="A29" s="167"/>
      <c r="B29" s="167"/>
      <c r="C29" s="192"/>
      <c r="D29" s="192"/>
      <c r="E29" s="192"/>
      <c r="F29" s="192"/>
      <c r="G29" s="192"/>
      <c r="H29" s="192"/>
      <c r="I29" s="193">
        <f t="shared" si="0"/>
        <v>0</v>
      </c>
      <c r="J29" s="193">
        <f t="shared" si="14"/>
        <v>0</v>
      </c>
      <c r="K29" s="193">
        <f t="shared" si="15"/>
        <v>0</v>
      </c>
      <c r="L29" s="193" t="e">
        <f t="shared" si="5"/>
        <v>#DIV/0!</v>
      </c>
      <c r="M29" s="193" t="e">
        <f t="shared" si="16"/>
        <v>#DIV/0!</v>
      </c>
      <c r="N29" s="193" t="e">
        <f t="shared" si="6"/>
        <v>#DIV/0!</v>
      </c>
      <c r="O29" s="193">
        <f t="shared" si="1"/>
        <v>0</v>
      </c>
      <c r="P29" s="193">
        <f t="shared" si="2"/>
        <v>0</v>
      </c>
      <c r="Q29" s="193" t="e">
        <f t="shared" si="17"/>
        <v>#DIV/0!</v>
      </c>
      <c r="R29" s="193">
        <f t="shared" si="7"/>
        <v>0</v>
      </c>
      <c r="T29" s="195" t="e">
        <f t="shared" si="8"/>
        <v>#DIV/0!</v>
      </c>
      <c r="U29" s="195" t="str">
        <f t="shared" si="3"/>
        <v>N/A</v>
      </c>
      <c r="V29" s="195" t="str">
        <f t="shared" si="4"/>
        <v>N/A</v>
      </c>
      <c r="X29" s="211">
        <f t="shared" si="9"/>
        <v>0</v>
      </c>
      <c r="Y29" s="211">
        <f t="shared" si="10"/>
        <v>0</v>
      </c>
      <c r="Z29" s="211">
        <f t="shared" si="11"/>
        <v>0</v>
      </c>
      <c r="AA29" s="211">
        <f t="shared" si="12"/>
        <v>0</v>
      </c>
      <c r="AB29" s="211">
        <f t="shared" si="13"/>
        <v>0</v>
      </c>
    </row>
    <row r="30" spans="1:28" x14ac:dyDescent="0.3">
      <c r="A30" s="167"/>
      <c r="B30" s="167"/>
      <c r="C30" s="192"/>
      <c r="D30" s="192"/>
      <c r="E30" s="192"/>
      <c r="F30" s="192"/>
      <c r="G30" s="192"/>
      <c r="H30" s="192"/>
      <c r="I30" s="193">
        <f t="shared" si="0"/>
        <v>0</v>
      </c>
      <c r="J30" s="193">
        <f t="shared" si="14"/>
        <v>0</v>
      </c>
      <c r="K30" s="193">
        <f t="shared" si="15"/>
        <v>0</v>
      </c>
      <c r="L30" s="193" t="e">
        <f t="shared" si="5"/>
        <v>#DIV/0!</v>
      </c>
      <c r="M30" s="193" t="e">
        <f t="shared" si="16"/>
        <v>#DIV/0!</v>
      </c>
      <c r="N30" s="193" t="e">
        <f t="shared" si="6"/>
        <v>#DIV/0!</v>
      </c>
      <c r="O30" s="193">
        <f t="shared" si="1"/>
        <v>0</v>
      </c>
      <c r="P30" s="193">
        <f t="shared" si="2"/>
        <v>0</v>
      </c>
      <c r="Q30" s="193" t="e">
        <f t="shared" si="17"/>
        <v>#DIV/0!</v>
      </c>
      <c r="R30" s="193">
        <f t="shared" si="7"/>
        <v>0</v>
      </c>
      <c r="T30" s="195" t="e">
        <f t="shared" si="8"/>
        <v>#DIV/0!</v>
      </c>
      <c r="U30" s="195" t="str">
        <f t="shared" si="3"/>
        <v>N/A</v>
      </c>
      <c r="V30" s="195" t="str">
        <f t="shared" si="4"/>
        <v>N/A</v>
      </c>
      <c r="X30" s="211">
        <f t="shared" si="9"/>
        <v>0</v>
      </c>
      <c r="Y30" s="211">
        <f t="shared" si="10"/>
        <v>0</v>
      </c>
      <c r="Z30" s="211">
        <f t="shared" si="11"/>
        <v>0</v>
      </c>
      <c r="AA30" s="211">
        <f t="shared" si="12"/>
        <v>0</v>
      </c>
      <c r="AB30" s="211">
        <f t="shared" si="13"/>
        <v>0</v>
      </c>
    </row>
    <row r="31" spans="1:28" x14ac:dyDescent="0.3">
      <c r="A31" s="167"/>
      <c r="B31" s="167"/>
      <c r="C31" s="192"/>
      <c r="D31" s="192"/>
      <c r="E31" s="192"/>
      <c r="F31" s="192"/>
      <c r="G31" s="192"/>
      <c r="H31" s="192"/>
      <c r="I31" s="193">
        <f t="shared" si="0"/>
        <v>0</v>
      </c>
      <c r="J31" s="193">
        <f t="shared" si="14"/>
        <v>0</v>
      </c>
      <c r="K31" s="193">
        <f t="shared" si="15"/>
        <v>0</v>
      </c>
      <c r="L31" s="193" t="e">
        <f t="shared" si="5"/>
        <v>#DIV/0!</v>
      </c>
      <c r="M31" s="193" t="e">
        <f t="shared" si="16"/>
        <v>#DIV/0!</v>
      </c>
      <c r="N31" s="193" t="e">
        <f t="shared" si="6"/>
        <v>#DIV/0!</v>
      </c>
      <c r="O31" s="193">
        <f t="shared" si="1"/>
        <v>0</v>
      </c>
      <c r="P31" s="193">
        <f t="shared" si="2"/>
        <v>0</v>
      </c>
      <c r="Q31" s="193" t="e">
        <f t="shared" si="17"/>
        <v>#DIV/0!</v>
      </c>
      <c r="R31" s="193">
        <f t="shared" si="7"/>
        <v>0</v>
      </c>
      <c r="T31" s="195" t="e">
        <f t="shared" si="8"/>
        <v>#DIV/0!</v>
      </c>
      <c r="U31" s="195" t="str">
        <f t="shared" si="3"/>
        <v>N/A</v>
      </c>
      <c r="V31" s="195" t="str">
        <f t="shared" si="4"/>
        <v>N/A</v>
      </c>
      <c r="X31" s="211">
        <f t="shared" si="9"/>
        <v>0</v>
      </c>
      <c r="Y31" s="211">
        <f t="shared" si="10"/>
        <v>0</v>
      </c>
      <c r="Z31" s="211">
        <f t="shared" si="11"/>
        <v>0</v>
      </c>
      <c r="AA31" s="211">
        <f t="shared" si="12"/>
        <v>0</v>
      </c>
      <c r="AB31" s="211">
        <f t="shared" si="13"/>
        <v>0</v>
      </c>
    </row>
    <row r="32" spans="1:28" x14ac:dyDescent="0.3">
      <c r="A32" s="167"/>
      <c r="B32" s="167"/>
      <c r="C32" s="192"/>
      <c r="D32" s="192"/>
      <c r="E32" s="192"/>
      <c r="F32" s="192"/>
      <c r="G32" s="192"/>
      <c r="H32" s="192"/>
      <c r="I32" s="193">
        <f t="shared" si="0"/>
        <v>0</v>
      </c>
      <c r="J32" s="193">
        <f t="shared" si="14"/>
        <v>0</v>
      </c>
      <c r="K32" s="193">
        <f t="shared" si="15"/>
        <v>0</v>
      </c>
      <c r="L32" s="193" t="e">
        <f t="shared" si="5"/>
        <v>#DIV/0!</v>
      </c>
      <c r="M32" s="193" t="e">
        <f t="shared" si="16"/>
        <v>#DIV/0!</v>
      </c>
      <c r="N32" s="193" t="e">
        <f t="shared" si="6"/>
        <v>#DIV/0!</v>
      </c>
      <c r="O32" s="193">
        <f t="shared" si="1"/>
        <v>0</v>
      </c>
      <c r="P32" s="193">
        <f t="shared" si="2"/>
        <v>0</v>
      </c>
      <c r="Q32" s="193" t="e">
        <f t="shared" si="17"/>
        <v>#DIV/0!</v>
      </c>
      <c r="R32" s="193">
        <f t="shared" si="7"/>
        <v>0</v>
      </c>
      <c r="T32" s="195" t="e">
        <f t="shared" si="8"/>
        <v>#DIV/0!</v>
      </c>
      <c r="U32" s="195" t="str">
        <f t="shared" si="3"/>
        <v>N/A</v>
      </c>
      <c r="V32" s="195" t="str">
        <f t="shared" si="4"/>
        <v>N/A</v>
      </c>
      <c r="X32" s="211">
        <f t="shared" si="9"/>
        <v>0</v>
      </c>
      <c r="Y32" s="211">
        <f t="shared" si="10"/>
        <v>0</v>
      </c>
      <c r="Z32" s="211">
        <f t="shared" si="11"/>
        <v>0</v>
      </c>
      <c r="AA32" s="211">
        <f t="shared" si="12"/>
        <v>0</v>
      </c>
      <c r="AB32" s="211">
        <f t="shared" si="13"/>
        <v>0</v>
      </c>
    </row>
    <row r="33" spans="1:28" x14ac:dyDescent="0.3">
      <c r="A33" s="167"/>
      <c r="B33" s="167"/>
      <c r="C33" s="192"/>
      <c r="D33" s="192"/>
      <c r="E33" s="192"/>
      <c r="F33" s="192"/>
      <c r="G33" s="192"/>
      <c r="H33" s="192"/>
      <c r="I33" s="193">
        <f t="shared" si="0"/>
        <v>0</v>
      </c>
      <c r="J33" s="193">
        <f t="shared" si="14"/>
        <v>0</v>
      </c>
      <c r="K33" s="193">
        <f t="shared" si="15"/>
        <v>0</v>
      </c>
      <c r="L33" s="193" t="e">
        <f t="shared" si="5"/>
        <v>#DIV/0!</v>
      </c>
      <c r="M33" s="193" t="e">
        <f t="shared" si="16"/>
        <v>#DIV/0!</v>
      </c>
      <c r="N33" s="193" t="e">
        <f t="shared" si="6"/>
        <v>#DIV/0!</v>
      </c>
      <c r="O33" s="193">
        <f t="shared" si="1"/>
        <v>0</v>
      </c>
      <c r="P33" s="193">
        <f t="shared" si="2"/>
        <v>0</v>
      </c>
      <c r="Q33" s="193" t="e">
        <f t="shared" si="17"/>
        <v>#DIV/0!</v>
      </c>
      <c r="R33" s="193">
        <f t="shared" si="7"/>
        <v>0</v>
      </c>
      <c r="T33" s="195" t="e">
        <f t="shared" si="8"/>
        <v>#DIV/0!</v>
      </c>
      <c r="U33" s="195" t="str">
        <f t="shared" si="3"/>
        <v>N/A</v>
      </c>
      <c r="V33" s="195" t="str">
        <f t="shared" si="4"/>
        <v>N/A</v>
      </c>
      <c r="X33" s="211">
        <f t="shared" si="9"/>
        <v>0</v>
      </c>
      <c r="Y33" s="211">
        <f t="shared" si="10"/>
        <v>0</v>
      </c>
      <c r="Z33" s="211">
        <f t="shared" si="11"/>
        <v>0</v>
      </c>
      <c r="AA33" s="211">
        <f t="shared" si="12"/>
        <v>0</v>
      </c>
      <c r="AB33" s="211">
        <f t="shared" si="13"/>
        <v>0</v>
      </c>
    </row>
    <row r="34" spans="1:28" x14ac:dyDescent="0.3">
      <c r="A34" s="167"/>
      <c r="B34" s="167"/>
      <c r="C34" s="192"/>
      <c r="D34" s="192"/>
      <c r="E34" s="192"/>
      <c r="F34" s="192"/>
      <c r="G34" s="192"/>
      <c r="H34" s="192"/>
      <c r="I34" s="193">
        <f t="shared" si="0"/>
        <v>0</v>
      </c>
      <c r="J34" s="193">
        <f t="shared" si="14"/>
        <v>0</v>
      </c>
      <c r="K34" s="193">
        <f t="shared" si="15"/>
        <v>0</v>
      </c>
      <c r="L34" s="193" t="e">
        <f t="shared" si="5"/>
        <v>#DIV/0!</v>
      </c>
      <c r="M34" s="193" t="e">
        <f t="shared" si="16"/>
        <v>#DIV/0!</v>
      </c>
      <c r="N34" s="193" t="e">
        <f t="shared" si="6"/>
        <v>#DIV/0!</v>
      </c>
      <c r="O34" s="193">
        <f t="shared" si="1"/>
        <v>0</v>
      </c>
      <c r="P34" s="193">
        <f t="shared" si="2"/>
        <v>0</v>
      </c>
      <c r="Q34" s="193" t="e">
        <f t="shared" si="17"/>
        <v>#DIV/0!</v>
      </c>
      <c r="R34" s="193">
        <f t="shared" si="7"/>
        <v>0</v>
      </c>
      <c r="T34" s="195" t="e">
        <f t="shared" si="8"/>
        <v>#DIV/0!</v>
      </c>
      <c r="U34" s="195" t="str">
        <f t="shared" si="3"/>
        <v>N/A</v>
      </c>
      <c r="V34" s="195" t="str">
        <f t="shared" si="4"/>
        <v>N/A</v>
      </c>
      <c r="X34" s="211">
        <f t="shared" si="9"/>
        <v>0</v>
      </c>
      <c r="Y34" s="211">
        <f t="shared" si="10"/>
        <v>0</v>
      </c>
      <c r="Z34" s="211">
        <f t="shared" si="11"/>
        <v>0</v>
      </c>
      <c r="AA34" s="211">
        <f t="shared" si="12"/>
        <v>0</v>
      </c>
      <c r="AB34" s="211">
        <f t="shared" si="13"/>
        <v>0</v>
      </c>
    </row>
    <row r="35" spans="1:28" x14ac:dyDescent="0.3">
      <c r="A35" s="167"/>
      <c r="B35" s="167"/>
      <c r="C35" s="192"/>
      <c r="D35" s="192"/>
      <c r="E35" s="192"/>
      <c r="F35" s="192"/>
      <c r="G35" s="192"/>
      <c r="H35" s="192"/>
      <c r="I35" s="193">
        <f t="shared" si="0"/>
        <v>0</v>
      </c>
      <c r="J35" s="193">
        <f t="shared" si="14"/>
        <v>0</v>
      </c>
      <c r="K35" s="193">
        <f t="shared" si="15"/>
        <v>0</v>
      </c>
      <c r="L35" s="193" t="e">
        <f t="shared" si="5"/>
        <v>#DIV/0!</v>
      </c>
      <c r="M35" s="193" t="e">
        <f t="shared" si="16"/>
        <v>#DIV/0!</v>
      </c>
      <c r="N35" s="193" t="e">
        <f t="shared" si="6"/>
        <v>#DIV/0!</v>
      </c>
      <c r="O35" s="193">
        <f t="shared" si="1"/>
        <v>0</v>
      </c>
      <c r="P35" s="193">
        <f t="shared" si="2"/>
        <v>0</v>
      </c>
      <c r="Q35" s="193" t="e">
        <f t="shared" si="17"/>
        <v>#DIV/0!</v>
      </c>
      <c r="R35" s="193">
        <f t="shared" si="7"/>
        <v>0</v>
      </c>
      <c r="T35" s="195" t="e">
        <f t="shared" si="8"/>
        <v>#DIV/0!</v>
      </c>
      <c r="U35" s="195" t="str">
        <f t="shared" si="3"/>
        <v>N/A</v>
      </c>
      <c r="V35" s="195" t="str">
        <f t="shared" si="4"/>
        <v>N/A</v>
      </c>
      <c r="X35" s="211">
        <f t="shared" si="9"/>
        <v>0</v>
      </c>
      <c r="Y35" s="211">
        <f t="shared" si="10"/>
        <v>0</v>
      </c>
      <c r="Z35" s="211">
        <f t="shared" si="11"/>
        <v>0</v>
      </c>
      <c r="AA35" s="211">
        <f t="shared" si="12"/>
        <v>0</v>
      </c>
      <c r="AB35" s="211">
        <f t="shared" si="13"/>
        <v>0</v>
      </c>
    </row>
    <row r="36" spans="1:28" x14ac:dyDescent="0.3">
      <c r="A36" s="167"/>
      <c r="B36" s="167"/>
      <c r="C36" s="192"/>
      <c r="D36" s="192"/>
      <c r="E36" s="192"/>
      <c r="F36" s="192"/>
      <c r="G36" s="192"/>
      <c r="H36" s="192"/>
      <c r="I36" s="193">
        <f t="shared" si="0"/>
        <v>0</v>
      </c>
      <c r="J36" s="193">
        <f t="shared" si="14"/>
        <v>0</v>
      </c>
      <c r="K36" s="193">
        <f t="shared" si="15"/>
        <v>0</v>
      </c>
      <c r="L36" s="193" t="e">
        <f t="shared" si="5"/>
        <v>#DIV/0!</v>
      </c>
      <c r="M36" s="193" t="e">
        <f t="shared" si="16"/>
        <v>#DIV/0!</v>
      </c>
      <c r="N36" s="193" t="e">
        <f t="shared" si="6"/>
        <v>#DIV/0!</v>
      </c>
      <c r="O36" s="193">
        <f t="shared" si="1"/>
        <v>0</v>
      </c>
      <c r="P36" s="193">
        <f t="shared" si="2"/>
        <v>0</v>
      </c>
      <c r="Q36" s="193" t="e">
        <f t="shared" si="17"/>
        <v>#DIV/0!</v>
      </c>
      <c r="R36" s="193">
        <f t="shared" si="7"/>
        <v>0</v>
      </c>
      <c r="T36" s="195" t="e">
        <f t="shared" si="8"/>
        <v>#DIV/0!</v>
      </c>
      <c r="U36" s="195" t="str">
        <f t="shared" si="3"/>
        <v>N/A</v>
      </c>
      <c r="V36" s="195" t="str">
        <f t="shared" si="4"/>
        <v>N/A</v>
      </c>
      <c r="X36" s="211">
        <f t="shared" si="9"/>
        <v>0</v>
      </c>
      <c r="Y36" s="211">
        <f t="shared" si="10"/>
        <v>0</v>
      </c>
      <c r="Z36" s="211">
        <f t="shared" si="11"/>
        <v>0</v>
      </c>
      <c r="AA36" s="211">
        <f t="shared" si="12"/>
        <v>0</v>
      </c>
      <c r="AB36" s="211">
        <f t="shared" si="13"/>
        <v>0</v>
      </c>
    </row>
    <row r="37" spans="1:28" x14ac:dyDescent="0.3">
      <c r="A37" s="167"/>
      <c r="B37" s="167"/>
      <c r="C37" s="192"/>
      <c r="D37" s="192"/>
      <c r="E37" s="192"/>
      <c r="F37" s="192"/>
      <c r="G37" s="192"/>
      <c r="H37" s="192"/>
      <c r="I37" s="193">
        <f t="shared" si="0"/>
        <v>0</v>
      </c>
      <c r="J37" s="193">
        <f t="shared" si="14"/>
        <v>0</v>
      </c>
      <c r="K37" s="193">
        <f t="shared" si="15"/>
        <v>0</v>
      </c>
      <c r="L37" s="193" t="e">
        <f t="shared" si="5"/>
        <v>#DIV/0!</v>
      </c>
      <c r="M37" s="193" t="e">
        <f t="shared" si="16"/>
        <v>#DIV/0!</v>
      </c>
      <c r="N37" s="193" t="e">
        <f t="shared" si="6"/>
        <v>#DIV/0!</v>
      </c>
      <c r="O37" s="193">
        <f t="shared" si="1"/>
        <v>0</v>
      </c>
      <c r="P37" s="193">
        <f t="shared" si="2"/>
        <v>0</v>
      </c>
      <c r="Q37" s="193" t="e">
        <f t="shared" si="17"/>
        <v>#DIV/0!</v>
      </c>
      <c r="R37" s="193">
        <f t="shared" si="7"/>
        <v>0</v>
      </c>
      <c r="T37" s="195" t="e">
        <f t="shared" si="8"/>
        <v>#DIV/0!</v>
      </c>
      <c r="U37" s="195" t="str">
        <f t="shared" si="3"/>
        <v>N/A</v>
      </c>
      <c r="V37" s="195" t="str">
        <f t="shared" si="4"/>
        <v>N/A</v>
      </c>
      <c r="X37" s="211">
        <f t="shared" si="9"/>
        <v>0</v>
      </c>
      <c r="Y37" s="211">
        <f t="shared" si="10"/>
        <v>0</v>
      </c>
      <c r="Z37" s="211">
        <f t="shared" si="11"/>
        <v>0</v>
      </c>
      <c r="AA37" s="211">
        <f t="shared" si="12"/>
        <v>0</v>
      </c>
      <c r="AB37" s="211">
        <f t="shared" si="13"/>
        <v>0</v>
      </c>
    </row>
    <row r="38" spans="1:28" x14ac:dyDescent="0.3">
      <c r="A38" s="167"/>
      <c r="B38" s="167"/>
      <c r="C38" s="192"/>
      <c r="D38" s="192"/>
      <c r="E38" s="192"/>
      <c r="F38" s="192"/>
      <c r="G38" s="192"/>
      <c r="H38" s="192"/>
      <c r="I38" s="193">
        <f t="shared" si="0"/>
        <v>0</v>
      </c>
      <c r="J38" s="193">
        <f t="shared" si="14"/>
        <v>0</v>
      </c>
      <c r="K38" s="193">
        <f t="shared" si="15"/>
        <v>0</v>
      </c>
      <c r="L38" s="193" t="e">
        <f t="shared" si="5"/>
        <v>#DIV/0!</v>
      </c>
      <c r="M38" s="193" t="e">
        <f t="shared" si="16"/>
        <v>#DIV/0!</v>
      </c>
      <c r="N38" s="193" t="e">
        <f t="shared" si="6"/>
        <v>#DIV/0!</v>
      </c>
      <c r="O38" s="193">
        <f t="shared" si="1"/>
        <v>0</v>
      </c>
      <c r="P38" s="193">
        <f t="shared" si="2"/>
        <v>0</v>
      </c>
      <c r="Q38" s="193" t="e">
        <f t="shared" si="17"/>
        <v>#DIV/0!</v>
      </c>
      <c r="R38" s="193">
        <f t="shared" si="7"/>
        <v>0</v>
      </c>
      <c r="T38" s="195" t="e">
        <f t="shared" si="8"/>
        <v>#DIV/0!</v>
      </c>
      <c r="U38" s="195" t="str">
        <f t="shared" si="3"/>
        <v>N/A</v>
      </c>
      <c r="V38" s="195" t="str">
        <f t="shared" si="4"/>
        <v>N/A</v>
      </c>
      <c r="X38" s="211">
        <f t="shared" si="9"/>
        <v>0</v>
      </c>
      <c r="Y38" s="211">
        <f t="shared" si="10"/>
        <v>0</v>
      </c>
      <c r="Z38" s="211">
        <f t="shared" si="11"/>
        <v>0</v>
      </c>
      <c r="AA38" s="211">
        <f t="shared" si="12"/>
        <v>0</v>
      </c>
      <c r="AB38" s="211">
        <f t="shared" si="13"/>
        <v>0</v>
      </c>
    </row>
    <row r="39" spans="1:28" x14ac:dyDescent="0.3">
      <c r="A39" s="167"/>
      <c r="B39" s="167"/>
      <c r="C39" s="192"/>
      <c r="D39" s="192"/>
      <c r="E39" s="192"/>
      <c r="F39" s="192"/>
      <c r="G39" s="192"/>
      <c r="H39" s="192"/>
      <c r="I39" s="193">
        <f t="shared" si="0"/>
        <v>0</v>
      </c>
      <c r="J39" s="193">
        <f t="shared" si="14"/>
        <v>0</v>
      </c>
      <c r="K39" s="193">
        <f t="shared" si="15"/>
        <v>0</v>
      </c>
      <c r="L39" s="193" t="e">
        <f t="shared" si="5"/>
        <v>#DIV/0!</v>
      </c>
      <c r="M39" s="193" t="e">
        <f t="shared" si="16"/>
        <v>#DIV/0!</v>
      </c>
      <c r="N39" s="193" t="e">
        <f t="shared" si="6"/>
        <v>#DIV/0!</v>
      </c>
      <c r="O39" s="193">
        <f t="shared" si="1"/>
        <v>0</v>
      </c>
      <c r="P39" s="193">
        <f t="shared" si="2"/>
        <v>0</v>
      </c>
      <c r="Q39" s="193" t="e">
        <f t="shared" si="17"/>
        <v>#DIV/0!</v>
      </c>
      <c r="R39" s="193">
        <f t="shared" si="7"/>
        <v>0</v>
      </c>
      <c r="T39" s="195" t="e">
        <f t="shared" si="8"/>
        <v>#DIV/0!</v>
      </c>
      <c r="U39" s="195" t="str">
        <f t="shared" si="3"/>
        <v>N/A</v>
      </c>
      <c r="V39" s="195" t="str">
        <f t="shared" si="4"/>
        <v>N/A</v>
      </c>
      <c r="X39" s="211">
        <f t="shared" si="9"/>
        <v>0</v>
      </c>
      <c r="Y39" s="211">
        <f t="shared" si="10"/>
        <v>0</v>
      </c>
      <c r="Z39" s="211">
        <f t="shared" si="11"/>
        <v>0</v>
      </c>
      <c r="AA39" s="211">
        <f t="shared" si="12"/>
        <v>0</v>
      </c>
      <c r="AB39" s="211">
        <f t="shared" si="13"/>
        <v>0</v>
      </c>
    </row>
    <row r="40" spans="1:28" x14ac:dyDescent="0.3">
      <c r="A40" s="167"/>
      <c r="B40" s="167"/>
      <c r="C40" s="192"/>
      <c r="D40" s="192"/>
      <c r="E40" s="192"/>
      <c r="F40" s="192"/>
      <c r="G40" s="192"/>
      <c r="H40" s="192"/>
      <c r="I40" s="193">
        <f t="shared" si="0"/>
        <v>0</v>
      </c>
      <c r="J40" s="193">
        <f t="shared" si="14"/>
        <v>0</v>
      </c>
      <c r="K40" s="193">
        <f t="shared" si="15"/>
        <v>0</v>
      </c>
      <c r="L40" s="193" t="e">
        <f t="shared" si="5"/>
        <v>#DIV/0!</v>
      </c>
      <c r="M40" s="193" t="e">
        <f t="shared" si="16"/>
        <v>#DIV/0!</v>
      </c>
      <c r="N40" s="193" t="e">
        <f t="shared" si="6"/>
        <v>#DIV/0!</v>
      </c>
      <c r="O40" s="193">
        <f t="shared" si="1"/>
        <v>0</v>
      </c>
      <c r="P40" s="193">
        <f t="shared" si="2"/>
        <v>0</v>
      </c>
      <c r="Q40" s="193" t="e">
        <f t="shared" si="17"/>
        <v>#DIV/0!</v>
      </c>
      <c r="R40" s="193">
        <f t="shared" si="7"/>
        <v>0</v>
      </c>
      <c r="T40" s="195" t="e">
        <f t="shared" si="8"/>
        <v>#DIV/0!</v>
      </c>
      <c r="U40" s="195" t="str">
        <f t="shared" si="3"/>
        <v>N/A</v>
      </c>
      <c r="V40" s="195" t="str">
        <f t="shared" si="4"/>
        <v>N/A</v>
      </c>
      <c r="X40" s="211">
        <f t="shared" si="9"/>
        <v>0</v>
      </c>
      <c r="Y40" s="211">
        <f t="shared" si="10"/>
        <v>0</v>
      </c>
      <c r="Z40" s="211">
        <f t="shared" si="11"/>
        <v>0</v>
      </c>
      <c r="AA40" s="211">
        <f t="shared" si="12"/>
        <v>0</v>
      </c>
      <c r="AB40" s="211">
        <f t="shared" si="13"/>
        <v>0</v>
      </c>
    </row>
    <row r="41" spans="1:28" x14ac:dyDescent="0.3">
      <c r="A41" s="167"/>
      <c r="B41" s="167"/>
      <c r="C41" s="192"/>
      <c r="D41" s="192"/>
      <c r="E41" s="192"/>
      <c r="F41" s="192"/>
      <c r="G41" s="192"/>
      <c r="H41" s="192"/>
      <c r="I41" s="193">
        <f t="shared" si="0"/>
        <v>0</v>
      </c>
      <c r="J41" s="193">
        <f t="shared" si="14"/>
        <v>0</v>
      </c>
      <c r="K41" s="193">
        <f t="shared" si="15"/>
        <v>0</v>
      </c>
      <c r="L41" s="193" t="e">
        <f t="shared" si="5"/>
        <v>#DIV/0!</v>
      </c>
      <c r="M41" s="193" t="e">
        <f t="shared" si="16"/>
        <v>#DIV/0!</v>
      </c>
      <c r="N41" s="193" t="e">
        <f t="shared" si="6"/>
        <v>#DIV/0!</v>
      </c>
      <c r="O41" s="193">
        <f t="shared" si="1"/>
        <v>0</v>
      </c>
      <c r="P41" s="193">
        <f t="shared" si="2"/>
        <v>0</v>
      </c>
      <c r="Q41" s="193" t="e">
        <f t="shared" si="17"/>
        <v>#DIV/0!</v>
      </c>
      <c r="R41" s="193">
        <f t="shared" si="7"/>
        <v>0</v>
      </c>
      <c r="T41" s="195" t="e">
        <f t="shared" si="8"/>
        <v>#DIV/0!</v>
      </c>
      <c r="U41" s="195" t="str">
        <f t="shared" si="3"/>
        <v>N/A</v>
      </c>
      <c r="V41" s="195" t="str">
        <f t="shared" si="4"/>
        <v>N/A</v>
      </c>
      <c r="X41" s="211">
        <f t="shared" si="9"/>
        <v>0</v>
      </c>
      <c r="Y41" s="211">
        <f t="shared" si="10"/>
        <v>0</v>
      </c>
      <c r="Z41" s="211">
        <f t="shared" si="11"/>
        <v>0</v>
      </c>
      <c r="AA41" s="211">
        <f t="shared" si="12"/>
        <v>0</v>
      </c>
      <c r="AB41" s="211">
        <f t="shared" si="13"/>
        <v>0</v>
      </c>
    </row>
    <row r="42" spans="1:28" x14ac:dyDescent="0.3">
      <c r="A42" s="167"/>
      <c r="B42" s="167"/>
      <c r="C42" s="192"/>
      <c r="D42" s="192"/>
      <c r="E42" s="192"/>
      <c r="F42" s="192"/>
      <c r="G42" s="192"/>
      <c r="H42" s="192"/>
      <c r="I42" s="193">
        <f t="shared" si="0"/>
        <v>0</v>
      </c>
      <c r="J42" s="193">
        <f t="shared" si="14"/>
        <v>0</v>
      </c>
      <c r="K42" s="193">
        <f t="shared" si="15"/>
        <v>0</v>
      </c>
      <c r="L42" s="193" t="e">
        <f t="shared" si="5"/>
        <v>#DIV/0!</v>
      </c>
      <c r="M42" s="193" t="e">
        <f t="shared" si="16"/>
        <v>#DIV/0!</v>
      </c>
      <c r="N42" s="193" t="e">
        <f t="shared" si="6"/>
        <v>#DIV/0!</v>
      </c>
      <c r="O42" s="193">
        <f t="shared" si="1"/>
        <v>0</v>
      </c>
      <c r="P42" s="193">
        <f t="shared" si="2"/>
        <v>0</v>
      </c>
      <c r="Q42" s="193" t="e">
        <f t="shared" si="17"/>
        <v>#DIV/0!</v>
      </c>
      <c r="R42" s="193">
        <f t="shared" si="7"/>
        <v>0</v>
      </c>
      <c r="T42" s="195" t="e">
        <f t="shared" si="8"/>
        <v>#DIV/0!</v>
      </c>
      <c r="U42" s="195" t="str">
        <f t="shared" si="3"/>
        <v>N/A</v>
      </c>
      <c r="V42" s="195" t="str">
        <f t="shared" si="4"/>
        <v>N/A</v>
      </c>
      <c r="X42" s="211">
        <f t="shared" si="9"/>
        <v>0</v>
      </c>
      <c r="Y42" s="211">
        <f t="shared" si="10"/>
        <v>0</v>
      </c>
      <c r="Z42" s="211">
        <f t="shared" si="11"/>
        <v>0</v>
      </c>
      <c r="AA42" s="211">
        <f t="shared" si="12"/>
        <v>0</v>
      </c>
      <c r="AB42" s="211">
        <f t="shared" si="13"/>
        <v>0</v>
      </c>
    </row>
    <row r="43" spans="1:28" x14ac:dyDescent="0.3">
      <c r="A43" s="167"/>
      <c r="B43" s="167"/>
      <c r="C43" s="192"/>
      <c r="D43" s="192"/>
      <c r="E43" s="192"/>
      <c r="F43" s="192"/>
      <c r="G43" s="192"/>
      <c r="H43" s="192"/>
      <c r="I43" s="193">
        <f t="shared" si="0"/>
        <v>0</v>
      </c>
      <c r="J43" s="193">
        <f t="shared" si="14"/>
        <v>0</v>
      </c>
      <c r="K43" s="193">
        <f t="shared" ref="K43:K106" si="18">IF(I43&lt;0,I43,0)</f>
        <v>0</v>
      </c>
      <c r="L43" s="193" t="e">
        <f t="shared" si="5"/>
        <v>#DIV/0!</v>
      </c>
      <c r="M43" s="193" t="e">
        <f t="shared" ref="M43:M106" si="19">I43+L43</f>
        <v>#DIV/0!</v>
      </c>
      <c r="N43" s="193" t="e">
        <f t="shared" si="6"/>
        <v>#DIV/0!</v>
      </c>
      <c r="O43" s="193">
        <f t="shared" si="1"/>
        <v>0</v>
      </c>
      <c r="P43" s="193">
        <f t="shared" si="2"/>
        <v>0</v>
      </c>
      <c r="Q43" s="193" t="e">
        <f t="shared" ref="Q43:Q106" si="20">IF(M43&lt;0,0,0.2*M43)</f>
        <v>#DIV/0!</v>
      </c>
      <c r="R43" s="193">
        <f t="shared" si="7"/>
        <v>0</v>
      </c>
      <c r="T43" s="195" t="e">
        <f t="shared" ref="T43:T106" si="21">IF($B$6="NO",Q43, "N/A")</f>
        <v>#DIV/0!</v>
      </c>
      <c r="U43" s="195" t="str">
        <f t="shared" si="3"/>
        <v>N/A</v>
      </c>
      <c r="V43" s="195" t="str">
        <f t="shared" si="4"/>
        <v>N/A</v>
      </c>
      <c r="X43" s="211">
        <f t="shared" si="9"/>
        <v>0</v>
      </c>
      <c r="Y43" s="211">
        <f t="shared" si="10"/>
        <v>0</v>
      </c>
      <c r="Z43" s="211">
        <f t="shared" si="11"/>
        <v>0</v>
      </c>
      <c r="AA43" s="211">
        <f t="shared" si="12"/>
        <v>0</v>
      </c>
      <c r="AB43" s="211">
        <f t="shared" si="13"/>
        <v>0</v>
      </c>
    </row>
    <row r="44" spans="1:28" x14ac:dyDescent="0.3">
      <c r="A44" s="167"/>
      <c r="B44" s="167"/>
      <c r="C44" s="192"/>
      <c r="D44" s="192"/>
      <c r="E44" s="192"/>
      <c r="F44" s="192"/>
      <c r="G44" s="192"/>
      <c r="H44" s="192"/>
      <c r="I44" s="193">
        <f t="shared" si="0"/>
        <v>0</v>
      </c>
      <c r="J44" s="193">
        <f t="shared" si="14"/>
        <v>0</v>
      </c>
      <c r="K44" s="193">
        <f t="shared" si="18"/>
        <v>0</v>
      </c>
      <c r="L44" s="193" t="e">
        <f t="shared" si="5"/>
        <v>#DIV/0!</v>
      </c>
      <c r="M44" s="193" t="e">
        <f t="shared" si="19"/>
        <v>#DIV/0!</v>
      </c>
      <c r="N44" s="193" t="e">
        <f t="shared" si="6"/>
        <v>#DIV/0!</v>
      </c>
      <c r="O44" s="193">
        <f t="shared" si="1"/>
        <v>0</v>
      </c>
      <c r="P44" s="193">
        <f t="shared" si="2"/>
        <v>0</v>
      </c>
      <c r="Q44" s="193" t="e">
        <f t="shared" si="20"/>
        <v>#DIV/0!</v>
      </c>
      <c r="R44" s="193">
        <f t="shared" si="7"/>
        <v>0</v>
      </c>
      <c r="T44" s="195" t="e">
        <f t="shared" si="21"/>
        <v>#DIV/0!</v>
      </c>
      <c r="U44" s="195" t="str">
        <f t="shared" si="3"/>
        <v>N/A</v>
      </c>
      <c r="V44" s="195" t="str">
        <f t="shared" si="4"/>
        <v>N/A</v>
      </c>
      <c r="X44" s="211">
        <f t="shared" si="9"/>
        <v>0</v>
      </c>
      <c r="Y44" s="211">
        <f t="shared" si="10"/>
        <v>0</v>
      </c>
      <c r="Z44" s="211">
        <f t="shared" si="11"/>
        <v>0</v>
      </c>
      <c r="AA44" s="211">
        <f t="shared" si="12"/>
        <v>0</v>
      </c>
      <c r="AB44" s="211">
        <f t="shared" si="13"/>
        <v>0</v>
      </c>
    </row>
    <row r="45" spans="1:28" x14ac:dyDescent="0.3">
      <c r="A45" s="167"/>
      <c r="B45" s="167"/>
      <c r="C45" s="192"/>
      <c r="D45" s="192"/>
      <c r="E45" s="192"/>
      <c r="F45" s="192"/>
      <c r="G45" s="192"/>
      <c r="H45" s="192"/>
      <c r="I45" s="193">
        <f t="shared" si="0"/>
        <v>0</v>
      </c>
      <c r="J45" s="193">
        <f t="shared" si="14"/>
        <v>0</v>
      </c>
      <c r="K45" s="193">
        <f t="shared" si="18"/>
        <v>0</v>
      </c>
      <c r="L45" s="193" t="e">
        <f t="shared" si="5"/>
        <v>#DIV/0!</v>
      </c>
      <c r="M45" s="193" t="e">
        <f t="shared" si="19"/>
        <v>#DIV/0!</v>
      </c>
      <c r="N45" s="193" t="e">
        <f t="shared" si="6"/>
        <v>#DIV/0!</v>
      </c>
      <c r="O45" s="193">
        <f t="shared" si="1"/>
        <v>0</v>
      </c>
      <c r="P45" s="193">
        <f t="shared" si="2"/>
        <v>0</v>
      </c>
      <c r="Q45" s="193" t="e">
        <f t="shared" si="20"/>
        <v>#DIV/0!</v>
      </c>
      <c r="R45" s="193">
        <f t="shared" si="7"/>
        <v>0</v>
      </c>
      <c r="T45" s="195" t="e">
        <f t="shared" si="21"/>
        <v>#DIV/0!</v>
      </c>
      <c r="U45" s="195" t="str">
        <f t="shared" si="3"/>
        <v>N/A</v>
      </c>
      <c r="V45" s="195" t="str">
        <f t="shared" si="4"/>
        <v>N/A</v>
      </c>
      <c r="X45" s="211">
        <f t="shared" si="9"/>
        <v>0</v>
      </c>
      <c r="Y45" s="211">
        <f t="shared" si="10"/>
        <v>0</v>
      </c>
      <c r="Z45" s="211">
        <f t="shared" si="11"/>
        <v>0</v>
      </c>
      <c r="AA45" s="211">
        <f t="shared" si="12"/>
        <v>0</v>
      </c>
      <c r="AB45" s="211">
        <f t="shared" si="13"/>
        <v>0</v>
      </c>
    </row>
    <row r="46" spans="1:28" x14ac:dyDescent="0.3">
      <c r="A46" s="167"/>
      <c r="B46" s="167"/>
      <c r="C46" s="192"/>
      <c r="D46" s="192"/>
      <c r="E46" s="192"/>
      <c r="F46" s="192"/>
      <c r="G46" s="192"/>
      <c r="H46" s="192"/>
      <c r="I46" s="193">
        <f t="shared" ref="I46:I77" si="22">IF(B46="YES",(C46-E46)*(1-B40),C46-E46)</f>
        <v>0</v>
      </c>
      <c r="J46" s="193">
        <f t="shared" si="14"/>
        <v>0</v>
      </c>
      <c r="K46" s="193">
        <f t="shared" si="18"/>
        <v>0</v>
      </c>
      <c r="L46" s="193" t="e">
        <f t="shared" si="5"/>
        <v>#DIV/0!</v>
      </c>
      <c r="M46" s="193" t="e">
        <f t="shared" si="19"/>
        <v>#DIV/0!</v>
      </c>
      <c r="N46" s="193" t="e">
        <f t="shared" si="6"/>
        <v>#DIV/0!</v>
      </c>
      <c r="O46" s="193">
        <f t="shared" ref="O46:O77" si="23">IF(B46="YES",F46*(1-B40),F46)</f>
        <v>0</v>
      </c>
      <c r="P46" s="193">
        <f t="shared" ref="P46:P77" si="24">IF(B46="YES",H46*(1-B40),H46)</f>
        <v>0</v>
      </c>
      <c r="Q46" s="193" t="e">
        <f t="shared" si="20"/>
        <v>#DIV/0!</v>
      </c>
      <c r="R46" s="193">
        <f t="shared" si="7"/>
        <v>0</v>
      </c>
      <c r="T46" s="195" t="e">
        <f t="shared" si="21"/>
        <v>#DIV/0!</v>
      </c>
      <c r="U46" s="195" t="str">
        <f t="shared" ref="U46:U77" si="25">IF(B46="YES",IF($B$8&gt;0,IF(R46&lt;Q46,Q46-ROUND($B$8,4)*(Q46-R46),Q46*(1-$B$8)),"N/A"),IF($B$8&gt;0,IF(R46&lt;Q46,Q46-ROUND($B$8,4)*(Q46-R46),Q46),"N/A"))</f>
        <v>N/A</v>
      </c>
      <c r="V46" s="195" t="str">
        <f t="shared" ref="V46:V77" si="26">IF(B46="YES","N/A", IF($B$4="MFJ",IF($B$5&gt;($E$5+100000),IF(Q46&lt;R46,Q46,R46),"N/A"),IF($B$5&gt;($E$6+50000),IF(Q46&lt;R46,Q46,R46),"N/A")))</f>
        <v>N/A</v>
      </c>
      <c r="X46" s="211">
        <f t="shared" si="9"/>
        <v>0</v>
      </c>
      <c r="Y46" s="211">
        <f t="shared" si="10"/>
        <v>0</v>
      </c>
      <c r="Z46" s="211">
        <f t="shared" si="11"/>
        <v>0</v>
      </c>
      <c r="AA46" s="211">
        <f t="shared" si="12"/>
        <v>0</v>
      </c>
      <c r="AB46" s="211">
        <f t="shared" si="13"/>
        <v>0</v>
      </c>
    </row>
    <row r="47" spans="1:28" x14ac:dyDescent="0.3">
      <c r="A47" s="167"/>
      <c r="B47" s="167"/>
      <c r="C47" s="192"/>
      <c r="D47" s="192"/>
      <c r="E47" s="192"/>
      <c r="F47" s="192"/>
      <c r="G47" s="192"/>
      <c r="H47" s="192"/>
      <c r="I47" s="193">
        <f t="shared" si="22"/>
        <v>0</v>
      </c>
      <c r="J47" s="193">
        <f t="shared" si="14"/>
        <v>0</v>
      </c>
      <c r="K47" s="193">
        <f t="shared" si="18"/>
        <v>0</v>
      </c>
      <c r="L47" s="193" t="e">
        <f t="shared" si="5"/>
        <v>#DIV/0!</v>
      </c>
      <c r="M47" s="193" t="e">
        <f t="shared" si="19"/>
        <v>#DIV/0!</v>
      </c>
      <c r="N47" s="193" t="e">
        <f t="shared" si="6"/>
        <v>#DIV/0!</v>
      </c>
      <c r="O47" s="193">
        <f t="shared" si="23"/>
        <v>0</v>
      </c>
      <c r="P47" s="193">
        <f t="shared" si="24"/>
        <v>0</v>
      </c>
      <c r="Q47" s="193" t="e">
        <f t="shared" si="20"/>
        <v>#DIV/0!</v>
      </c>
      <c r="R47" s="193">
        <f t="shared" ref="R47:R78" si="27">IF(F47*0.5&gt;0.25*F47+0.025*H47,F47*0.5,0.25*F47+0.025*H47)</f>
        <v>0</v>
      </c>
      <c r="T47" s="195" t="e">
        <f t="shared" si="21"/>
        <v>#DIV/0!</v>
      </c>
      <c r="U47" s="195" t="str">
        <f t="shared" si="25"/>
        <v>N/A</v>
      </c>
      <c r="V47" s="195" t="str">
        <f t="shared" si="26"/>
        <v>N/A</v>
      </c>
      <c r="X47" s="211">
        <f t="shared" si="9"/>
        <v>0</v>
      </c>
      <c r="Y47" s="211">
        <f t="shared" si="10"/>
        <v>0</v>
      </c>
      <c r="Z47" s="211">
        <f t="shared" si="11"/>
        <v>0</v>
      </c>
      <c r="AA47" s="211">
        <f t="shared" si="12"/>
        <v>0</v>
      </c>
      <c r="AB47" s="211">
        <f t="shared" si="13"/>
        <v>0</v>
      </c>
    </row>
    <row r="48" spans="1:28" x14ac:dyDescent="0.3">
      <c r="A48" s="167"/>
      <c r="B48" s="167"/>
      <c r="C48" s="192"/>
      <c r="D48" s="192"/>
      <c r="E48" s="192"/>
      <c r="F48" s="192"/>
      <c r="G48" s="192"/>
      <c r="H48" s="192"/>
      <c r="I48" s="193">
        <f t="shared" si="22"/>
        <v>0</v>
      </c>
      <c r="J48" s="193">
        <f t="shared" si="14"/>
        <v>0</v>
      </c>
      <c r="K48" s="193">
        <f t="shared" si="18"/>
        <v>0</v>
      </c>
      <c r="L48" s="193" t="e">
        <f t="shared" si="5"/>
        <v>#DIV/0!</v>
      </c>
      <c r="M48" s="193" t="e">
        <f t="shared" si="19"/>
        <v>#DIV/0!</v>
      </c>
      <c r="N48" s="193" t="e">
        <f t="shared" si="6"/>
        <v>#DIV/0!</v>
      </c>
      <c r="O48" s="193">
        <f t="shared" si="23"/>
        <v>0</v>
      </c>
      <c r="P48" s="193">
        <f t="shared" si="24"/>
        <v>0</v>
      </c>
      <c r="Q48" s="193" t="e">
        <f t="shared" si="20"/>
        <v>#DIV/0!</v>
      </c>
      <c r="R48" s="193">
        <f t="shared" si="27"/>
        <v>0</v>
      </c>
      <c r="T48" s="195" t="e">
        <f t="shared" si="21"/>
        <v>#DIV/0!</v>
      </c>
      <c r="U48" s="195" t="str">
        <f t="shared" si="25"/>
        <v>N/A</v>
      </c>
      <c r="V48" s="195" t="str">
        <f t="shared" si="26"/>
        <v>N/A</v>
      </c>
      <c r="X48" s="211">
        <f t="shared" si="9"/>
        <v>0</v>
      </c>
      <c r="Y48" s="211">
        <f t="shared" si="10"/>
        <v>0</v>
      </c>
      <c r="Z48" s="211">
        <f t="shared" si="11"/>
        <v>0</v>
      </c>
      <c r="AA48" s="211">
        <f t="shared" si="12"/>
        <v>0</v>
      </c>
      <c r="AB48" s="211">
        <f t="shared" si="13"/>
        <v>0</v>
      </c>
    </row>
    <row r="49" spans="1:28" x14ac:dyDescent="0.3">
      <c r="A49" s="167"/>
      <c r="B49" s="167"/>
      <c r="C49" s="192"/>
      <c r="D49" s="192"/>
      <c r="E49" s="192"/>
      <c r="F49" s="192"/>
      <c r="G49" s="192"/>
      <c r="H49" s="192"/>
      <c r="I49" s="193">
        <f t="shared" si="22"/>
        <v>0</v>
      </c>
      <c r="J49" s="193">
        <f t="shared" si="14"/>
        <v>0</v>
      </c>
      <c r="K49" s="193">
        <f t="shared" si="18"/>
        <v>0</v>
      </c>
      <c r="L49" s="193" t="e">
        <f t="shared" si="5"/>
        <v>#DIV/0!</v>
      </c>
      <c r="M49" s="193" t="e">
        <f t="shared" si="19"/>
        <v>#DIV/0!</v>
      </c>
      <c r="N49" s="193" t="e">
        <f t="shared" si="6"/>
        <v>#DIV/0!</v>
      </c>
      <c r="O49" s="193">
        <f t="shared" si="23"/>
        <v>0</v>
      </c>
      <c r="P49" s="193">
        <f t="shared" si="24"/>
        <v>0</v>
      </c>
      <c r="Q49" s="193" t="e">
        <f t="shared" si="20"/>
        <v>#DIV/0!</v>
      </c>
      <c r="R49" s="193">
        <f t="shared" si="27"/>
        <v>0</v>
      </c>
      <c r="T49" s="195" t="e">
        <f t="shared" si="21"/>
        <v>#DIV/0!</v>
      </c>
      <c r="U49" s="195" t="str">
        <f t="shared" si="25"/>
        <v>N/A</v>
      </c>
      <c r="V49" s="195" t="str">
        <f t="shared" si="26"/>
        <v>N/A</v>
      </c>
      <c r="X49" s="211">
        <f t="shared" si="9"/>
        <v>0</v>
      </c>
      <c r="Y49" s="211">
        <f t="shared" si="10"/>
        <v>0</v>
      </c>
      <c r="Z49" s="211">
        <f t="shared" si="11"/>
        <v>0</v>
      </c>
      <c r="AA49" s="211">
        <f t="shared" si="12"/>
        <v>0</v>
      </c>
      <c r="AB49" s="211">
        <f t="shared" si="13"/>
        <v>0</v>
      </c>
    </row>
    <row r="50" spans="1:28" x14ac:dyDescent="0.3">
      <c r="A50" s="167"/>
      <c r="B50" s="167"/>
      <c r="C50" s="192"/>
      <c r="D50" s="192"/>
      <c r="E50" s="192"/>
      <c r="F50" s="192"/>
      <c r="G50" s="192"/>
      <c r="H50" s="192"/>
      <c r="I50" s="193">
        <f t="shared" si="22"/>
        <v>0</v>
      </c>
      <c r="J50" s="193">
        <f t="shared" si="14"/>
        <v>0</v>
      </c>
      <c r="K50" s="193">
        <f t="shared" si="18"/>
        <v>0</v>
      </c>
      <c r="L50" s="193" t="e">
        <f t="shared" si="5"/>
        <v>#DIV/0!</v>
      </c>
      <c r="M50" s="193" t="e">
        <f t="shared" si="19"/>
        <v>#DIV/0!</v>
      </c>
      <c r="N50" s="193" t="e">
        <f t="shared" si="6"/>
        <v>#DIV/0!</v>
      </c>
      <c r="O50" s="193">
        <f t="shared" si="23"/>
        <v>0</v>
      </c>
      <c r="P50" s="193">
        <f t="shared" si="24"/>
        <v>0</v>
      </c>
      <c r="Q50" s="193" t="e">
        <f t="shared" si="20"/>
        <v>#DIV/0!</v>
      </c>
      <c r="R50" s="193">
        <f t="shared" si="27"/>
        <v>0</v>
      </c>
      <c r="T50" s="195" t="e">
        <f t="shared" si="21"/>
        <v>#DIV/0!</v>
      </c>
      <c r="U50" s="195" t="str">
        <f t="shared" si="25"/>
        <v>N/A</v>
      </c>
      <c r="V50" s="195" t="str">
        <f t="shared" si="26"/>
        <v>N/A</v>
      </c>
      <c r="X50" s="211">
        <f t="shared" si="9"/>
        <v>0</v>
      </c>
      <c r="Y50" s="211">
        <f t="shared" si="10"/>
        <v>0</v>
      </c>
      <c r="Z50" s="211">
        <f t="shared" si="11"/>
        <v>0</v>
      </c>
      <c r="AA50" s="211">
        <f t="shared" si="12"/>
        <v>0</v>
      </c>
      <c r="AB50" s="211">
        <f t="shared" si="13"/>
        <v>0</v>
      </c>
    </row>
    <row r="51" spans="1:28" x14ac:dyDescent="0.3">
      <c r="A51" s="167"/>
      <c r="B51" s="167"/>
      <c r="C51" s="192"/>
      <c r="D51" s="192"/>
      <c r="E51" s="192"/>
      <c r="F51" s="192"/>
      <c r="G51" s="192"/>
      <c r="H51" s="192"/>
      <c r="I51" s="193">
        <f t="shared" si="22"/>
        <v>0</v>
      </c>
      <c r="J51" s="193">
        <f t="shared" si="14"/>
        <v>0</v>
      </c>
      <c r="K51" s="193">
        <f t="shared" si="18"/>
        <v>0</v>
      </c>
      <c r="L51" s="193" t="e">
        <f t="shared" si="5"/>
        <v>#DIV/0!</v>
      </c>
      <c r="M51" s="193" t="e">
        <f t="shared" si="19"/>
        <v>#DIV/0!</v>
      </c>
      <c r="N51" s="193" t="e">
        <f t="shared" si="6"/>
        <v>#DIV/0!</v>
      </c>
      <c r="O51" s="193">
        <f t="shared" si="23"/>
        <v>0</v>
      </c>
      <c r="P51" s="193">
        <f t="shared" si="24"/>
        <v>0</v>
      </c>
      <c r="Q51" s="193" t="e">
        <f t="shared" si="20"/>
        <v>#DIV/0!</v>
      </c>
      <c r="R51" s="193">
        <f t="shared" si="27"/>
        <v>0</v>
      </c>
      <c r="T51" s="195" t="e">
        <f t="shared" si="21"/>
        <v>#DIV/0!</v>
      </c>
      <c r="U51" s="195" t="str">
        <f t="shared" si="25"/>
        <v>N/A</v>
      </c>
      <c r="V51" s="195" t="str">
        <f t="shared" si="26"/>
        <v>N/A</v>
      </c>
      <c r="X51" s="211">
        <f t="shared" si="9"/>
        <v>0</v>
      </c>
      <c r="Y51" s="211">
        <f t="shared" si="10"/>
        <v>0</v>
      </c>
      <c r="Z51" s="211">
        <f t="shared" si="11"/>
        <v>0</v>
      </c>
      <c r="AA51" s="211">
        <f t="shared" si="12"/>
        <v>0</v>
      </c>
      <c r="AB51" s="211">
        <f t="shared" si="13"/>
        <v>0</v>
      </c>
    </row>
    <row r="52" spans="1:28" x14ac:dyDescent="0.3">
      <c r="A52" s="167"/>
      <c r="B52" s="167"/>
      <c r="C52" s="192"/>
      <c r="D52" s="192"/>
      <c r="E52" s="192"/>
      <c r="F52" s="192"/>
      <c r="G52" s="192"/>
      <c r="H52" s="192"/>
      <c r="I52" s="193">
        <f t="shared" si="22"/>
        <v>0</v>
      </c>
      <c r="J52" s="193">
        <f t="shared" si="14"/>
        <v>0</v>
      </c>
      <c r="K52" s="193">
        <f t="shared" si="18"/>
        <v>0</v>
      </c>
      <c r="L52" s="193" t="e">
        <f t="shared" si="5"/>
        <v>#DIV/0!</v>
      </c>
      <c r="M52" s="193" t="e">
        <f t="shared" si="19"/>
        <v>#DIV/0!</v>
      </c>
      <c r="N52" s="193" t="e">
        <f t="shared" si="6"/>
        <v>#DIV/0!</v>
      </c>
      <c r="O52" s="193">
        <f t="shared" si="23"/>
        <v>0</v>
      </c>
      <c r="P52" s="193">
        <f t="shared" si="24"/>
        <v>0</v>
      </c>
      <c r="Q52" s="193" t="e">
        <f t="shared" si="20"/>
        <v>#DIV/0!</v>
      </c>
      <c r="R52" s="193">
        <f t="shared" si="27"/>
        <v>0</v>
      </c>
      <c r="T52" s="195" t="e">
        <f t="shared" si="21"/>
        <v>#DIV/0!</v>
      </c>
      <c r="U52" s="195" t="str">
        <f t="shared" si="25"/>
        <v>N/A</v>
      </c>
      <c r="V52" s="195" t="str">
        <f t="shared" si="26"/>
        <v>N/A</v>
      </c>
      <c r="X52" s="211">
        <f t="shared" si="9"/>
        <v>0</v>
      </c>
      <c r="Y52" s="211">
        <f t="shared" si="10"/>
        <v>0</v>
      </c>
      <c r="Z52" s="211">
        <f t="shared" si="11"/>
        <v>0</v>
      </c>
      <c r="AA52" s="211">
        <f t="shared" si="12"/>
        <v>0</v>
      </c>
      <c r="AB52" s="211">
        <f t="shared" si="13"/>
        <v>0</v>
      </c>
    </row>
    <row r="53" spans="1:28" x14ac:dyDescent="0.3">
      <c r="A53" s="167"/>
      <c r="B53" s="167"/>
      <c r="C53" s="192"/>
      <c r="D53" s="192"/>
      <c r="E53" s="192"/>
      <c r="F53" s="192"/>
      <c r="G53" s="192"/>
      <c r="H53" s="192"/>
      <c r="I53" s="193">
        <f t="shared" si="22"/>
        <v>0</v>
      </c>
      <c r="J53" s="193">
        <f t="shared" si="14"/>
        <v>0</v>
      </c>
      <c r="K53" s="193">
        <f t="shared" si="18"/>
        <v>0</v>
      </c>
      <c r="L53" s="193" t="e">
        <f t="shared" si="5"/>
        <v>#DIV/0!</v>
      </c>
      <c r="M53" s="193" t="e">
        <f t="shared" si="19"/>
        <v>#DIV/0!</v>
      </c>
      <c r="N53" s="193" t="e">
        <f t="shared" si="6"/>
        <v>#DIV/0!</v>
      </c>
      <c r="O53" s="193">
        <f t="shared" si="23"/>
        <v>0</v>
      </c>
      <c r="P53" s="193">
        <f t="shared" si="24"/>
        <v>0</v>
      </c>
      <c r="Q53" s="193" t="e">
        <f t="shared" si="20"/>
        <v>#DIV/0!</v>
      </c>
      <c r="R53" s="193">
        <f t="shared" si="27"/>
        <v>0</v>
      </c>
      <c r="T53" s="195" t="e">
        <f t="shared" si="21"/>
        <v>#DIV/0!</v>
      </c>
      <c r="U53" s="195" t="str">
        <f t="shared" si="25"/>
        <v>N/A</v>
      </c>
      <c r="V53" s="195" t="str">
        <f t="shared" si="26"/>
        <v>N/A</v>
      </c>
      <c r="X53" s="211">
        <f t="shared" si="9"/>
        <v>0</v>
      </c>
      <c r="Y53" s="211">
        <f t="shared" si="10"/>
        <v>0</v>
      </c>
      <c r="Z53" s="211">
        <f t="shared" si="11"/>
        <v>0</v>
      </c>
      <c r="AA53" s="211">
        <f t="shared" si="12"/>
        <v>0</v>
      </c>
      <c r="AB53" s="211">
        <f t="shared" si="13"/>
        <v>0</v>
      </c>
    </row>
    <row r="54" spans="1:28" x14ac:dyDescent="0.3">
      <c r="A54" s="167"/>
      <c r="B54" s="167"/>
      <c r="C54" s="192"/>
      <c r="D54" s="192"/>
      <c r="E54" s="192"/>
      <c r="F54" s="192"/>
      <c r="G54" s="192"/>
      <c r="H54" s="192"/>
      <c r="I54" s="193">
        <f t="shared" si="22"/>
        <v>0</v>
      </c>
      <c r="J54" s="193">
        <f t="shared" si="14"/>
        <v>0</v>
      </c>
      <c r="K54" s="193">
        <f t="shared" si="18"/>
        <v>0</v>
      </c>
      <c r="L54" s="193" t="e">
        <f t="shared" si="5"/>
        <v>#DIV/0!</v>
      </c>
      <c r="M54" s="193" t="e">
        <f t="shared" si="19"/>
        <v>#DIV/0!</v>
      </c>
      <c r="N54" s="193" t="e">
        <f t="shared" si="6"/>
        <v>#DIV/0!</v>
      </c>
      <c r="O54" s="193">
        <f t="shared" si="23"/>
        <v>0</v>
      </c>
      <c r="P54" s="193">
        <f t="shared" si="24"/>
        <v>0</v>
      </c>
      <c r="Q54" s="193" t="e">
        <f t="shared" si="20"/>
        <v>#DIV/0!</v>
      </c>
      <c r="R54" s="193">
        <f t="shared" si="27"/>
        <v>0</v>
      </c>
      <c r="T54" s="195" t="e">
        <f t="shared" si="21"/>
        <v>#DIV/0!</v>
      </c>
      <c r="U54" s="195" t="str">
        <f t="shared" si="25"/>
        <v>N/A</v>
      </c>
      <c r="V54" s="195" t="str">
        <f t="shared" si="26"/>
        <v>N/A</v>
      </c>
      <c r="X54" s="211">
        <f t="shared" si="9"/>
        <v>0</v>
      </c>
      <c r="Y54" s="211">
        <f t="shared" si="10"/>
        <v>0</v>
      </c>
      <c r="Z54" s="211">
        <f t="shared" si="11"/>
        <v>0</v>
      </c>
      <c r="AA54" s="211">
        <f t="shared" si="12"/>
        <v>0</v>
      </c>
      <c r="AB54" s="211">
        <f t="shared" si="13"/>
        <v>0</v>
      </c>
    </row>
    <row r="55" spans="1:28" x14ac:dyDescent="0.3">
      <c r="A55" s="167"/>
      <c r="B55" s="167"/>
      <c r="C55" s="192"/>
      <c r="D55" s="192"/>
      <c r="E55" s="192"/>
      <c r="F55" s="192"/>
      <c r="G55" s="192"/>
      <c r="H55" s="192"/>
      <c r="I55" s="193">
        <f t="shared" si="22"/>
        <v>0</v>
      </c>
      <c r="J55" s="193">
        <f t="shared" si="14"/>
        <v>0</v>
      </c>
      <c r="K55" s="193">
        <f t="shared" si="18"/>
        <v>0</v>
      </c>
      <c r="L55" s="193" t="e">
        <f t="shared" si="5"/>
        <v>#DIV/0!</v>
      </c>
      <c r="M55" s="193" t="e">
        <f t="shared" si="19"/>
        <v>#DIV/0!</v>
      </c>
      <c r="N55" s="193" t="e">
        <f t="shared" si="6"/>
        <v>#DIV/0!</v>
      </c>
      <c r="O55" s="193">
        <f t="shared" si="23"/>
        <v>0</v>
      </c>
      <c r="P55" s="193">
        <f t="shared" si="24"/>
        <v>0</v>
      </c>
      <c r="Q55" s="193" t="e">
        <f t="shared" si="20"/>
        <v>#DIV/0!</v>
      </c>
      <c r="R55" s="193">
        <f t="shared" si="27"/>
        <v>0</v>
      </c>
      <c r="T55" s="195" t="e">
        <f t="shared" si="21"/>
        <v>#DIV/0!</v>
      </c>
      <c r="U55" s="195" t="str">
        <f t="shared" si="25"/>
        <v>N/A</v>
      </c>
      <c r="V55" s="195" t="str">
        <f t="shared" si="26"/>
        <v>N/A</v>
      </c>
      <c r="X55" s="211">
        <f t="shared" si="9"/>
        <v>0</v>
      </c>
      <c r="Y55" s="211">
        <f t="shared" si="10"/>
        <v>0</v>
      </c>
      <c r="Z55" s="211">
        <f t="shared" si="11"/>
        <v>0</v>
      </c>
      <c r="AA55" s="211">
        <f t="shared" si="12"/>
        <v>0</v>
      </c>
      <c r="AB55" s="211">
        <f t="shared" si="13"/>
        <v>0</v>
      </c>
    </row>
    <row r="56" spans="1:28" x14ac:dyDescent="0.3">
      <c r="A56" s="167"/>
      <c r="B56" s="167"/>
      <c r="C56" s="192"/>
      <c r="D56" s="192"/>
      <c r="E56" s="192"/>
      <c r="F56" s="192"/>
      <c r="G56" s="192"/>
      <c r="H56" s="192"/>
      <c r="I56" s="193">
        <f t="shared" si="22"/>
        <v>0</v>
      </c>
      <c r="J56" s="193">
        <f t="shared" si="14"/>
        <v>0</v>
      </c>
      <c r="K56" s="193">
        <f t="shared" si="18"/>
        <v>0</v>
      </c>
      <c r="L56" s="193" t="e">
        <f t="shared" si="5"/>
        <v>#DIV/0!</v>
      </c>
      <c r="M56" s="193" t="e">
        <f t="shared" si="19"/>
        <v>#DIV/0!</v>
      </c>
      <c r="N56" s="193" t="e">
        <f t="shared" si="6"/>
        <v>#DIV/0!</v>
      </c>
      <c r="O56" s="193">
        <f t="shared" si="23"/>
        <v>0</v>
      </c>
      <c r="P56" s="193">
        <f t="shared" si="24"/>
        <v>0</v>
      </c>
      <c r="Q56" s="193" t="e">
        <f t="shared" si="20"/>
        <v>#DIV/0!</v>
      </c>
      <c r="R56" s="193">
        <f t="shared" si="27"/>
        <v>0</v>
      </c>
      <c r="T56" s="195" t="e">
        <f t="shared" si="21"/>
        <v>#DIV/0!</v>
      </c>
      <c r="U56" s="195" t="str">
        <f t="shared" si="25"/>
        <v>N/A</v>
      </c>
      <c r="V56" s="195" t="str">
        <f t="shared" si="26"/>
        <v>N/A</v>
      </c>
      <c r="X56" s="211">
        <f t="shared" si="9"/>
        <v>0</v>
      </c>
      <c r="Y56" s="211">
        <f t="shared" si="10"/>
        <v>0</v>
      </c>
      <c r="Z56" s="211">
        <f t="shared" si="11"/>
        <v>0</v>
      </c>
      <c r="AA56" s="211">
        <f t="shared" si="12"/>
        <v>0</v>
      </c>
      <c r="AB56" s="211">
        <f t="shared" si="13"/>
        <v>0</v>
      </c>
    </row>
    <row r="57" spans="1:28" x14ac:dyDescent="0.3">
      <c r="A57" s="167"/>
      <c r="B57" s="167"/>
      <c r="C57" s="192"/>
      <c r="D57" s="192"/>
      <c r="E57" s="192"/>
      <c r="F57" s="192"/>
      <c r="G57" s="192"/>
      <c r="H57" s="192"/>
      <c r="I57" s="193">
        <f t="shared" si="22"/>
        <v>0</v>
      </c>
      <c r="J57" s="193">
        <f t="shared" si="14"/>
        <v>0</v>
      </c>
      <c r="K57" s="193">
        <f t="shared" si="18"/>
        <v>0</v>
      </c>
      <c r="L57" s="193" t="e">
        <f t="shared" si="5"/>
        <v>#DIV/0!</v>
      </c>
      <c r="M57" s="193" t="e">
        <f t="shared" si="19"/>
        <v>#DIV/0!</v>
      </c>
      <c r="N57" s="193" t="e">
        <f t="shared" si="6"/>
        <v>#DIV/0!</v>
      </c>
      <c r="O57" s="193">
        <f t="shared" si="23"/>
        <v>0</v>
      </c>
      <c r="P57" s="193">
        <f t="shared" si="24"/>
        <v>0</v>
      </c>
      <c r="Q57" s="193" t="e">
        <f t="shared" si="20"/>
        <v>#DIV/0!</v>
      </c>
      <c r="R57" s="193">
        <f t="shared" si="27"/>
        <v>0</v>
      </c>
      <c r="T57" s="195" t="e">
        <f t="shared" si="21"/>
        <v>#DIV/0!</v>
      </c>
      <c r="U57" s="195" t="str">
        <f t="shared" si="25"/>
        <v>N/A</v>
      </c>
      <c r="V57" s="195" t="str">
        <f t="shared" si="26"/>
        <v>N/A</v>
      </c>
      <c r="X57" s="211">
        <f t="shared" si="9"/>
        <v>0</v>
      </c>
      <c r="Y57" s="211">
        <f t="shared" si="10"/>
        <v>0</v>
      </c>
      <c r="Z57" s="211">
        <f t="shared" si="11"/>
        <v>0</v>
      </c>
      <c r="AA57" s="211">
        <f t="shared" si="12"/>
        <v>0</v>
      </c>
      <c r="AB57" s="211">
        <f t="shared" si="13"/>
        <v>0</v>
      </c>
    </row>
    <row r="58" spans="1:28" x14ac:dyDescent="0.3">
      <c r="A58" s="167"/>
      <c r="B58" s="167"/>
      <c r="C58" s="192"/>
      <c r="D58" s="192"/>
      <c r="E58" s="192"/>
      <c r="F58" s="192"/>
      <c r="G58" s="192"/>
      <c r="H58" s="192"/>
      <c r="I58" s="193">
        <f t="shared" si="22"/>
        <v>0</v>
      </c>
      <c r="J58" s="193">
        <f t="shared" si="14"/>
        <v>0</v>
      </c>
      <c r="K58" s="193">
        <f t="shared" si="18"/>
        <v>0</v>
      </c>
      <c r="L58" s="193" t="e">
        <f t="shared" si="5"/>
        <v>#DIV/0!</v>
      </c>
      <c r="M58" s="193" t="e">
        <f t="shared" si="19"/>
        <v>#DIV/0!</v>
      </c>
      <c r="N58" s="193" t="e">
        <f t="shared" si="6"/>
        <v>#DIV/0!</v>
      </c>
      <c r="O58" s="193">
        <f t="shared" si="23"/>
        <v>0</v>
      </c>
      <c r="P58" s="193">
        <f t="shared" si="24"/>
        <v>0</v>
      </c>
      <c r="Q58" s="193" t="e">
        <f t="shared" si="20"/>
        <v>#DIV/0!</v>
      </c>
      <c r="R58" s="193">
        <f t="shared" si="27"/>
        <v>0</v>
      </c>
      <c r="T58" s="195" t="e">
        <f t="shared" si="21"/>
        <v>#DIV/0!</v>
      </c>
      <c r="U58" s="195" t="str">
        <f t="shared" si="25"/>
        <v>N/A</v>
      </c>
      <c r="V58" s="195" t="str">
        <f t="shared" si="26"/>
        <v>N/A</v>
      </c>
      <c r="X58" s="211">
        <f t="shared" si="9"/>
        <v>0</v>
      </c>
      <c r="Y58" s="211">
        <f t="shared" si="10"/>
        <v>0</v>
      </c>
      <c r="Z58" s="211">
        <f t="shared" si="11"/>
        <v>0</v>
      </c>
      <c r="AA58" s="211">
        <f t="shared" si="12"/>
        <v>0</v>
      </c>
      <c r="AB58" s="211">
        <f t="shared" si="13"/>
        <v>0</v>
      </c>
    </row>
    <row r="59" spans="1:28" x14ac:dyDescent="0.3">
      <c r="A59" s="167"/>
      <c r="B59" s="167"/>
      <c r="C59" s="192"/>
      <c r="D59" s="192"/>
      <c r="E59" s="192"/>
      <c r="F59" s="192"/>
      <c r="G59" s="192"/>
      <c r="H59" s="192"/>
      <c r="I59" s="193">
        <f t="shared" si="22"/>
        <v>0</v>
      </c>
      <c r="J59" s="193">
        <f t="shared" si="14"/>
        <v>0</v>
      </c>
      <c r="K59" s="193">
        <f t="shared" si="18"/>
        <v>0</v>
      </c>
      <c r="L59" s="193" t="e">
        <f t="shared" si="5"/>
        <v>#DIV/0!</v>
      </c>
      <c r="M59" s="193" t="e">
        <f t="shared" si="19"/>
        <v>#DIV/0!</v>
      </c>
      <c r="N59" s="193" t="e">
        <f t="shared" si="6"/>
        <v>#DIV/0!</v>
      </c>
      <c r="O59" s="193">
        <f t="shared" si="23"/>
        <v>0</v>
      </c>
      <c r="P59" s="193">
        <f t="shared" si="24"/>
        <v>0</v>
      </c>
      <c r="Q59" s="193" t="e">
        <f t="shared" si="20"/>
        <v>#DIV/0!</v>
      </c>
      <c r="R59" s="193">
        <f t="shared" si="27"/>
        <v>0</v>
      </c>
      <c r="T59" s="195" t="e">
        <f t="shared" si="21"/>
        <v>#DIV/0!</v>
      </c>
      <c r="U59" s="195" t="str">
        <f t="shared" si="25"/>
        <v>N/A</v>
      </c>
      <c r="V59" s="195" t="str">
        <f t="shared" si="26"/>
        <v>N/A</v>
      </c>
      <c r="X59" s="211">
        <f t="shared" si="9"/>
        <v>0</v>
      </c>
      <c r="Y59" s="211">
        <f t="shared" si="10"/>
        <v>0</v>
      </c>
      <c r="Z59" s="211">
        <f t="shared" si="11"/>
        <v>0</v>
      </c>
      <c r="AA59" s="211">
        <f t="shared" si="12"/>
        <v>0</v>
      </c>
      <c r="AB59" s="211">
        <f t="shared" si="13"/>
        <v>0</v>
      </c>
    </row>
    <row r="60" spans="1:28" x14ac:dyDescent="0.3">
      <c r="A60" s="167"/>
      <c r="B60" s="167"/>
      <c r="C60" s="192"/>
      <c r="D60" s="192"/>
      <c r="E60" s="192"/>
      <c r="F60" s="192"/>
      <c r="G60" s="192"/>
      <c r="H60" s="192"/>
      <c r="I60" s="193">
        <f t="shared" si="22"/>
        <v>0</v>
      </c>
      <c r="J60" s="193">
        <f t="shared" si="14"/>
        <v>0</v>
      </c>
      <c r="K60" s="193">
        <f t="shared" si="18"/>
        <v>0</v>
      </c>
      <c r="L60" s="193" t="e">
        <f t="shared" si="5"/>
        <v>#DIV/0!</v>
      </c>
      <c r="M60" s="193" t="e">
        <f t="shared" si="19"/>
        <v>#DIV/0!</v>
      </c>
      <c r="N60" s="193" t="e">
        <f t="shared" si="6"/>
        <v>#DIV/0!</v>
      </c>
      <c r="O60" s="193">
        <f t="shared" si="23"/>
        <v>0</v>
      </c>
      <c r="P60" s="193">
        <f t="shared" si="24"/>
        <v>0</v>
      </c>
      <c r="Q60" s="193" t="e">
        <f t="shared" si="20"/>
        <v>#DIV/0!</v>
      </c>
      <c r="R60" s="193">
        <f t="shared" si="27"/>
        <v>0</v>
      </c>
      <c r="T60" s="195" t="e">
        <f t="shared" si="21"/>
        <v>#DIV/0!</v>
      </c>
      <c r="U60" s="195" t="str">
        <f t="shared" si="25"/>
        <v>N/A</v>
      </c>
      <c r="V60" s="195" t="str">
        <f t="shared" si="26"/>
        <v>N/A</v>
      </c>
      <c r="X60" s="211">
        <f t="shared" si="9"/>
        <v>0</v>
      </c>
      <c r="Y60" s="211">
        <f t="shared" si="10"/>
        <v>0</v>
      </c>
      <c r="Z60" s="211">
        <f t="shared" si="11"/>
        <v>0</v>
      </c>
      <c r="AA60" s="211">
        <f t="shared" si="12"/>
        <v>0</v>
      </c>
      <c r="AB60" s="211">
        <f t="shared" si="13"/>
        <v>0</v>
      </c>
    </row>
    <row r="61" spans="1:28" x14ac:dyDescent="0.3">
      <c r="A61" s="167"/>
      <c r="B61" s="167"/>
      <c r="C61" s="192"/>
      <c r="D61" s="192"/>
      <c r="E61" s="192"/>
      <c r="F61" s="192"/>
      <c r="G61" s="192"/>
      <c r="H61" s="192"/>
      <c r="I61" s="193">
        <f t="shared" si="22"/>
        <v>0</v>
      </c>
      <c r="J61" s="193">
        <f t="shared" si="14"/>
        <v>0</v>
      </c>
      <c r="K61" s="193">
        <f t="shared" si="18"/>
        <v>0</v>
      </c>
      <c r="L61" s="193" t="e">
        <f t="shared" si="5"/>
        <v>#DIV/0!</v>
      </c>
      <c r="M61" s="193" t="e">
        <f t="shared" si="19"/>
        <v>#DIV/0!</v>
      </c>
      <c r="N61" s="193" t="e">
        <f t="shared" si="6"/>
        <v>#DIV/0!</v>
      </c>
      <c r="O61" s="193">
        <f t="shared" si="23"/>
        <v>0</v>
      </c>
      <c r="P61" s="193">
        <f t="shared" si="24"/>
        <v>0</v>
      </c>
      <c r="Q61" s="193" t="e">
        <f t="shared" si="20"/>
        <v>#DIV/0!</v>
      </c>
      <c r="R61" s="193">
        <f t="shared" si="27"/>
        <v>0</v>
      </c>
      <c r="T61" s="195" t="e">
        <f t="shared" si="21"/>
        <v>#DIV/0!</v>
      </c>
      <c r="U61" s="195" t="str">
        <f t="shared" si="25"/>
        <v>N/A</v>
      </c>
      <c r="V61" s="195" t="str">
        <f t="shared" si="26"/>
        <v>N/A</v>
      </c>
      <c r="X61" s="211">
        <f t="shared" si="9"/>
        <v>0</v>
      </c>
      <c r="Y61" s="211">
        <f t="shared" si="10"/>
        <v>0</v>
      </c>
      <c r="Z61" s="211">
        <f t="shared" si="11"/>
        <v>0</v>
      </c>
      <c r="AA61" s="211">
        <f t="shared" si="12"/>
        <v>0</v>
      </c>
      <c r="AB61" s="211">
        <f t="shared" si="13"/>
        <v>0</v>
      </c>
    </row>
    <row r="62" spans="1:28" x14ac:dyDescent="0.3">
      <c r="A62" s="167"/>
      <c r="B62" s="167"/>
      <c r="C62" s="192"/>
      <c r="D62" s="192"/>
      <c r="E62" s="192"/>
      <c r="F62" s="192"/>
      <c r="G62" s="192"/>
      <c r="H62" s="192"/>
      <c r="I62" s="193">
        <f t="shared" si="22"/>
        <v>0</v>
      </c>
      <c r="J62" s="193">
        <f t="shared" si="14"/>
        <v>0</v>
      </c>
      <c r="K62" s="193">
        <f t="shared" si="18"/>
        <v>0</v>
      </c>
      <c r="L62" s="193" t="e">
        <f t="shared" si="5"/>
        <v>#DIV/0!</v>
      </c>
      <c r="M62" s="193" t="e">
        <f t="shared" si="19"/>
        <v>#DIV/0!</v>
      </c>
      <c r="N62" s="193" t="e">
        <f t="shared" si="6"/>
        <v>#DIV/0!</v>
      </c>
      <c r="O62" s="193">
        <f t="shared" si="23"/>
        <v>0</v>
      </c>
      <c r="P62" s="193">
        <f t="shared" si="24"/>
        <v>0</v>
      </c>
      <c r="Q62" s="193" t="e">
        <f t="shared" si="20"/>
        <v>#DIV/0!</v>
      </c>
      <c r="R62" s="193">
        <f t="shared" si="27"/>
        <v>0</v>
      </c>
      <c r="T62" s="195" t="e">
        <f t="shared" si="21"/>
        <v>#DIV/0!</v>
      </c>
      <c r="U62" s="195" t="str">
        <f t="shared" si="25"/>
        <v>N/A</v>
      </c>
      <c r="V62" s="195" t="str">
        <f t="shared" si="26"/>
        <v>N/A</v>
      </c>
      <c r="X62" s="211">
        <f t="shared" si="9"/>
        <v>0</v>
      </c>
      <c r="Y62" s="211">
        <f t="shared" si="10"/>
        <v>0</v>
      </c>
      <c r="Z62" s="211">
        <f t="shared" si="11"/>
        <v>0</v>
      </c>
      <c r="AA62" s="211">
        <f t="shared" si="12"/>
        <v>0</v>
      </c>
      <c r="AB62" s="211">
        <f t="shared" si="13"/>
        <v>0</v>
      </c>
    </row>
    <row r="63" spans="1:28" x14ac:dyDescent="0.3">
      <c r="A63" s="167"/>
      <c r="B63" s="167"/>
      <c r="C63" s="192"/>
      <c r="D63" s="192"/>
      <c r="E63" s="192"/>
      <c r="F63" s="192"/>
      <c r="G63" s="192"/>
      <c r="H63" s="192"/>
      <c r="I63" s="193">
        <f t="shared" si="22"/>
        <v>0</v>
      </c>
      <c r="J63" s="193">
        <f t="shared" si="14"/>
        <v>0</v>
      </c>
      <c r="K63" s="193">
        <f t="shared" si="18"/>
        <v>0</v>
      </c>
      <c r="L63" s="193" t="e">
        <f t="shared" si="5"/>
        <v>#DIV/0!</v>
      </c>
      <c r="M63" s="193" t="e">
        <f t="shared" si="19"/>
        <v>#DIV/0!</v>
      </c>
      <c r="N63" s="193" t="e">
        <f t="shared" si="6"/>
        <v>#DIV/0!</v>
      </c>
      <c r="O63" s="193">
        <f t="shared" si="23"/>
        <v>0</v>
      </c>
      <c r="P63" s="193">
        <f t="shared" si="24"/>
        <v>0</v>
      </c>
      <c r="Q63" s="193" t="e">
        <f t="shared" si="20"/>
        <v>#DIV/0!</v>
      </c>
      <c r="R63" s="193">
        <f t="shared" si="27"/>
        <v>0</v>
      </c>
      <c r="T63" s="195" t="e">
        <f t="shared" si="21"/>
        <v>#DIV/0!</v>
      </c>
      <c r="U63" s="195" t="str">
        <f t="shared" si="25"/>
        <v>N/A</v>
      </c>
      <c r="V63" s="195" t="str">
        <f t="shared" si="26"/>
        <v>N/A</v>
      </c>
      <c r="X63" s="211">
        <f t="shared" si="9"/>
        <v>0</v>
      </c>
      <c r="Y63" s="211">
        <f t="shared" si="10"/>
        <v>0</v>
      </c>
      <c r="Z63" s="211">
        <f t="shared" si="11"/>
        <v>0</v>
      </c>
      <c r="AA63" s="211">
        <f t="shared" si="12"/>
        <v>0</v>
      </c>
      <c r="AB63" s="211">
        <f t="shared" si="13"/>
        <v>0</v>
      </c>
    </row>
    <row r="64" spans="1:28" x14ac:dyDescent="0.3">
      <c r="A64" s="167"/>
      <c r="B64" s="167"/>
      <c r="C64" s="192"/>
      <c r="D64" s="192"/>
      <c r="E64" s="192"/>
      <c r="F64" s="192"/>
      <c r="G64" s="192"/>
      <c r="H64" s="192"/>
      <c r="I64" s="193">
        <f t="shared" si="22"/>
        <v>0</v>
      </c>
      <c r="J64" s="193">
        <f t="shared" si="14"/>
        <v>0</v>
      </c>
      <c r="K64" s="193">
        <f t="shared" si="18"/>
        <v>0</v>
      </c>
      <c r="L64" s="193" t="e">
        <f t="shared" si="5"/>
        <v>#DIV/0!</v>
      </c>
      <c r="M64" s="193" t="e">
        <f t="shared" si="19"/>
        <v>#DIV/0!</v>
      </c>
      <c r="N64" s="193" t="e">
        <f t="shared" si="6"/>
        <v>#DIV/0!</v>
      </c>
      <c r="O64" s="193">
        <f t="shared" si="23"/>
        <v>0</v>
      </c>
      <c r="P64" s="193">
        <f t="shared" si="24"/>
        <v>0</v>
      </c>
      <c r="Q64" s="193" t="e">
        <f t="shared" si="20"/>
        <v>#DIV/0!</v>
      </c>
      <c r="R64" s="193">
        <f t="shared" si="27"/>
        <v>0</v>
      </c>
      <c r="T64" s="195" t="e">
        <f t="shared" si="21"/>
        <v>#DIV/0!</v>
      </c>
      <c r="U64" s="195" t="str">
        <f t="shared" si="25"/>
        <v>N/A</v>
      </c>
      <c r="V64" s="195" t="str">
        <f t="shared" si="26"/>
        <v>N/A</v>
      </c>
      <c r="X64" s="211">
        <f t="shared" si="9"/>
        <v>0</v>
      </c>
      <c r="Y64" s="211">
        <f t="shared" si="10"/>
        <v>0</v>
      </c>
      <c r="Z64" s="211">
        <f t="shared" si="11"/>
        <v>0</v>
      </c>
      <c r="AA64" s="211">
        <f t="shared" si="12"/>
        <v>0</v>
      </c>
      <c r="AB64" s="211">
        <f t="shared" si="13"/>
        <v>0</v>
      </c>
    </row>
    <row r="65" spans="1:28" x14ac:dyDescent="0.3">
      <c r="A65" s="167"/>
      <c r="B65" s="167"/>
      <c r="C65" s="192"/>
      <c r="D65" s="192"/>
      <c r="E65" s="192"/>
      <c r="F65" s="192"/>
      <c r="G65" s="192"/>
      <c r="H65" s="192"/>
      <c r="I65" s="193">
        <f t="shared" si="22"/>
        <v>0</v>
      </c>
      <c r="J65" s="193">
        <f t="shared" si="14"/>
        <v>0</v>
      </c>
      <c r="K65" s="193">
        <f t="shared" si="18"/>
        <v>0</v>
      </c>
      <c r="L65" s="193" t="e">
        <f t="shared" si="5"/>
        <v>#DIV/0!</v>
      </c>
      <c r="M65" s="193" t="e">
        <f t="shared" si="19"/>
        <v>#DIV/0!</v>
      </c>
      <c r="N65" s="193" t="e">
        <f t="shared" si="6"/>
        <v>#DIV/0!</v>
      </c>
      <c r="O65" s="193">
        <f t="shared" si="23"/>
        <v>0</v>
      </c>
      <c r="P65" s="193">
        <f t="shared" si="24"/>
        <v>0</v>
      </c>
      <c r="Q65" s="193" t="e">
        <f t="shared" si="20"/>
        <v>#DIV/0!</v>
      </c>
      <c r="R65" s="193">
        <f t="shared" si="27"/>
        <v>0</v>
      </c>
      <c r="T65" s="195" t="e">
        <f t="shared" si="21"/>
        <v>#DIV/0!</v>
      </c>
      <c r="U65" s="195" t="str">
        <f t="shared" si="25"/>
        <v>N/A</v>
      </c>
      <c r="V65" s="195" t="str">
        <f t="shared" si="26"/>
        <v>N/A</v>
      </c>
      <c r="X65" s="211">
        <f t="shared" si="9"/>
        <v>0</v>
      </c>
      <c r="Y65" s="211">
        <f t="shared" si="10"/>
        <v>0</v>
      </c>
      <c r="Z65" s="211">
        <f t="shared" si="11"/>
        <v>0</v>
      </c>
      <c r="AA65" s="211">
        <f t="shared" si="12"/>
        <v>0</v>
      </c>
      <c r="AB65" s="211">
        <f t="shared" si="13"/>
        <v>0</v>
      </c>
    </row>
    <row r="66" spans="1:28" x14ac:dyDescent="0.3">
      <c r="A66" s="167"/>
      <c r="B66" s="167"/>
      <c r="C66" s="192"/>
      <c r="D66" s="192"/>
      <c r="E66" s="192"/>
      <c r="F66" s="192"/>
      <c r="G66" s="192"/>
      <c r="H66" s="192"/>
      <c r="I66" s="193">
        <f t="shared" si="22"/>
        <v>0</v>
      </c>
      <c r="J66" s="193">
        <f t="shared" si="14"/>
        <v>0</v>
      </c>
      <c r="K66" s="193">
        <f t="shared" si="18"/>
        <v>0</v>
      </c>
      <c r="L66" s="193" t="e">
        <f t="shared" si="5"/>
        <v>#DIV/0!</v>
      </c>
      <c r="M66" s="193" t="e">
        <f t="shared" si="19"/>
        <v>#DIV/0!</v>
      </c>
      <c r="N66" s="193" t="e">
        <f t="shared" si="6"/>
        <v>#DIV/0!</v>
      </c>
      <c r="O66" s="193">
        <f t="shared" si="23"/>
        <v>0</v>
      </c>
      <c r="P66" s="193">
        <f t="shared" si="24"/>
        <v>0</v>
      </c>
      <c r="Q66" s="193" t="e">
        <f t="shared" si="20"/>
        <v>#DIV/0!</v>
      </c>
      <c r="R66" s="193">
        <f t="shared" si="27"/>
        <v>0</v>
      </c>
      <c r="T66" s="195" t="e">
        <f t="shared" si="21"/>
        <v>#DIV/0!</v>
      </c>
      <c r="U66" s="195" t="str">
        <f t="shared" si="25"/>
        <v>N/A</v>
      </c>
      <c r="V66" s="195" t="str">
        <f t="shared" si="26"/>
        <v>N/A</v>
      </c>
      <c r="X66" s="211">
        <f t="shared" si="9"/>
        <v>0</v>
      </c>
      <c r="Y66" s="211">
        <f t="shared" si="10"/>
        <v>0</v>
      </c>
      <c r="Z66" s="211">
        <f t="shared" si="11"/>
        <v>0</v>
      </c>
      <c r="AA66" s="211">
        <f t="shared" si="12"/>
        <v>0</v>
      </c>
      <c r="AB66" s="211">
        <f t="shared" si="13"/>
        <v>0</v>
      </c>
    </row>
    <row r="67" spans="1:28" x14ac:dyDescent="0.3">
      <c r="A67" s="167"/>
      <c r="B67" s="167"/>
      <c r="C67" s="192"/>
      <c r="D67" s="192"/>
      <c r="E67" s="192"/>
      <c r="F67" s="192"/>
      <c r="G67" s="192"/>
      <c r="H67" s="192"/>
      <c r="I67" s="193">
        <f t="shared" si="22"/>
        <v>0</v>
      </c>
      <c r="J67" s="193">
        <f t="shared" si="14"/>
        <v>0</v>
      </c>
      <c r="K67" s="193">
        <f t="shared" si="18"/>
        <v>0</v>
      </c>
      <c r="L67" s="193" t="e">
        <f t="shared" si="5"/>
        <v>#DIV/0!</v>
      </c>
      <c r="M67" s="193" t="e">
        <f t="shared" si="19"/>
        <v>#DIV/0!</v>
      </c>
      <c r="N67" s="193" t="e">
        <f t="shared" si="6"/>
        <v>#DIV/0!</v>
      </c>
      <c r="O67" s="193">
        <f t="shared" si="23"/>
        <v>0</v>
      </c>
      <c r="P67" s="193">
        <f t="shared" si="24"/>
        <v>0</v>
      </c>
      <c r="Q67" s="193" t="e">
        <f t="shared" si="20"/>
        <v>#DIV/0!</v>
      </c>
      <c r="R67" s="193">
        <f t="shared" si="27"/>
        <v>0</v>
      </c>
      <c r="T67" s="195" t="e">
        <f t="shared" si="21"/>
        <v>#DIV/0!</v>
      </c>
      <c r="U67" s="195" t="str">
        <f t="shared" si="25"/>
        <v>N/A</v>
      </c>
      <c r="V67" s="195" t="str">
        <f t="shared" si="26"/>
        <v>N/A</v>
      </c>
      <c r="X67" s="211">
        <f t="shared" si="9"/>
        <v>0</v>
      </c>
      <c r="Y67" s="211">
        <f t="shared" si="10"/>
        <v>0</v>
      </c>
      <c r="Z67" s="211">
        <f t="shared" si="11"/>
        <v>0</v>
      </c>
      <c r="AA67" s="211">
        <f t="shared" si="12"/>
        <v>0</v>
      </c>
      <c r="AB67" s="211">
        <f t="shared" si="13"/>
        <v>0</v>
      </c>
    </row>
    <row r="68" spans="1:28" x14ac:dyDescent="0.3">
      <c r="A68" s="167"/>
      <c r="B68" s="167"/>
      <c r="C68" s="192"/>
      <c r="D68" s="192"/>
      <c r="E68" s="192"/>
      <c r="F68" s="192"/>
      <c r="G68" s="192"/>
      <c r="H68" s="192"/>
      <c r="I68" s="193">
        <f t="shared" si="22"/>
        <v>0</v>
      </c>
      <c r="J68" s="193">
        <f t="shared" si="14"/>
        <v>0</v>
      </c>
      <c r="K68" s="193">
        <f t="shared" si="18"/>
        <v>0</v>
      </c>
      <c r="L68" s="193" t="e">
        <f t="shared" si="5"/>
        <v>#DIV/0!</v>
      </c>
      <c r="M68" s="193" t="e">
        <f t="shared" si="19"/>
        <v>#DIV/0!</v>
      </c>
      <c r="N68" s="193" t="e">
        <f t="shared" si="6"/>
        <v>#DIV/0!</v>
      </c>
      <c r="O68" s="193">
        <f t="shared" si="23"/>
        <v>0</v>
      </c>
      <c r="P68" s="193">
        <f t="shared" si="24"/>
        <v>0</v>
      </c>
      <c r="Q68" s="193" t="e">
        <f t="shared" si="20"/>
        <v>#DIV/0!</v>
      </c>
      <c r="R68" s="193">
        <f t="shared" si="27"/>
        <v>0</v>
      </c>
      <c r="T68" s="195" t="e">
        <f t="shared" si="21"/>
        <v>#DIV/0!</v>
      </c>
      <c r="U68" s="195" t="str">
        <f t="shared" si="25"/>
        <v>N/A</v>
      </c>
      <c r="V68" s="195" t="str">
        <f t="shared" si="26"/>
        <v>N/A</v>
      </c>
      <c r="X68" s="211">
        <f t="shared" si="9"/>
        <v>0</v>
      </c>
      <c r="Y68" s="211">
        <f t="shared" si="10"/>
        <v>0</v>
      </c>
      <c r="Z68" s="211">
        <f t="shared" si="11"/>
        <v>0</v>
      </c>
      <c r="AA68" s="211">
        <f t="shared" si="12"/>
        <v>0</v>
      </c>
      <c r="AB68" s="211">
        <f t="shared" si="13"/>
        <v>0</v>
      </c>
    </row>
    <row r="69" spans="1:28" x14ac:dyDescent="0.3">
      <c r="A69" s="167"/>
      <c r="B69" s="167"/>
      <c r="C69" s="192"/>
      <c r="D69" s="192"/>
      <c r="E69" s="192"/>
      <c r="F69" s="192"/>
      <c r="G69" s="192"/>
      <c r="H69" s="192"/>
      <c r="I69" s="193">
        <f t="shared" si="22"/>
        <v>0</v>
      </c>
      <c r="J69" s="193">
        <f t="shared" si="14"/>
        <v>0</v>
      </c>
      <c r="K69" s="193">
        <f t="shared" si="18"/>
        <v>0</v>
      </c>
      <c r="L69" s="193" t="e">
        <f t="shared" si="5"/>
        <v>#DIV/0!</v>
      </c>
      <c r="M69" s="193" t="e">
        <f t="shared" si="19"/>
        <v>#DIV/0!</v>
      </c>
      <c r="N69" s="193" t="e">
        <f t="shared" si="6"/>
        <v>#DIV/0!</v>
      </c>
      <c r="O69" s="193">
        <f t="shared" si="23"/>
        <v>0</v>
      </c>
      <c r="P69" s="193">
        <f t="shared" si="24"/>
        <v>0</v>
      </c>
      <c r="Q69" s="193" t="e">
        <f t="shared" si="20"/>
        <v>#DIV/0!</v>
      </c>
      <c r="R69" s="193">
        <f t="shared" si="27"/>
        <v>0</v>
      </c>
      <c r="T69" s="195" t="e">
        <f t="shared" si="21"/>
        <v>#DIV/0!</v>
      </c>
      <c r="U69" s="195" t="str">
        <f t="shared" si="25"/>
        <v>N/A</v>
      </c>
      <c r="V69" s="195" t="str">
        <f t="shared" si="26"/>
        <v>N/A</v>
      </c>
      <c r="X69" s="211">
        <f t="shared" si="9"/>
        <v>0</v>
      </c>
      <c r="Y69" s="211">
        <f t="shared" si="10"/>
        <v>0</v>
      </c>
      <c r="Z69" s="211">
        <f t="shared" si="11"/>
        <v>0</v>
      </c>
      <c r="AA69" s="211">
        <f t="shared" si="12"/>
        <v>0</v>
      </c>
      <c r="AB69" s="211">
        <f t="shared" si="13"/>
        <v>0</v>
      </c>
    </row>
    <row r="70" spans="1:28" x14ac:dyDescent="0.3">
      <c r="A70" s="167"/>
      <c r="B70" s="167"/>
      <c r="C70" s="192"/>
      <c r="D70" s="192"/>
      <c r="E70" s="192"/>
      <c r="F70" s="192"/>
      <c r="G70" s="192"/>
      <c r="H70" s="192"/>
      <c r="I70" s="193">
        <f t="shared" si="22"/>
        <v>0</v>
      </c>
      <c r="J70" s="193">
        <f t="shared" si="14"/>
        <v>0</v>
      </c>
      <c r="K70" s="193">
        <f t="shared" si="18"/>
        <v>0</v>
      </c>
      <c r="L70" s="193" t="e">
        <f t="shared" si="5"/>
        <v>#DIV/0!</v>
      </c>
      <c r="M70" s="193" t="e">
        <f t="shared" si="19"/>
        <v>#DIV/0!</v>
      </c>
      <c r="N70" s="193" t="e">
        <f t="shared" si="6"/>
        <v>#DIV/0!</v>
      </c>
      <c r="O70" s="193">
        <f t="shared" si="23"/>
        <v>0</v>
      </c>
      <c r="P70" s="193">
        <f t="shared" si="24"/>
        <v>0</v>
      </c>
      <c r="Q70" s="193" t="e">
        <f t="shared" si="20"/>
        <v>#DIV/0!</v>
      </c>
      <c r="R70" s="193">
        <f t="shared" si="27"/>
        <v>0</v>
      </c>
      <c r="T70" s="195" t="e">
        <f t="shared" si="21"/>
        <v>#DIV/0!</v>
      </c>
      <c r="U70" s="195" t="str">
        <f t="shared" si="25"/>
        <v>N/A</v>
      </c>
      <c r="V70" s="195" t="str">
        <f t="shared" si="26"/>
        <v>N/A</v>
      </c>
      <c r="X70" s="211">
        <f t="shared" si="9"/>
        <v>0</v>
      </c>
      <c r="Y70" s="211">
        <f t="shared" si="10"/>
        <v>0</v>
      </c>
      <c r="Z70" s="211">
        <f t="shared" si="11"/>
        <v>0</v>
      </c>
      <c r="AA70" s="211">
        <f t="shared" si="12"/>
        <v>0</v>
      </c>
      <c r="AB70" s="211">
        <f t="shared" si="13"/>
        <v>0</v>
      </c>
    </row>
    <row r="71" spans="1:28" x14ac:dyDescent="0.3">
      <c r="A71" s="167"/>
      <c r="B71" s="167"/>
      <c r="C71" s="192"/>
      <c r="D71" s="192"/>
      <c r="E71" s="192"/>
      <c r="F71" s="192"/>
      <c r="G71" s="192"/>
      <c r="H71" s="192"/>
      <c r="I71" s="193">
        <f t="shared" si="22"/>
        <v>0</v>
      </c>
      <c r="J71" s="193">
        <f t="shared" si="14"/>
        <v>0</v>
      </c>
      <c r="K71" s="193">
        <f t="shared" si="18"/>
        <v>0</v>
      </c>
      <c r="L71" s="193" t="e">
        <f t="shared" si="5"/>
        <v>#DIV/0!</v>
      </c>
      <c r="M71" s="193" t="e">
        <f t="shared" si="19"/>
        <v>#DIV/0!</v>
      </c>
      <c r="N71" s="193" t="e">
        <f t="shared" si="6"/>
        <v>#DIV/0!</v>
      </c>
      <c r="O71" s="193">
        <f t="shared" si="23"/>
        <v>0</v>
      </c>
      <c r="P71" s="193">
        <f t="shared" si="24"/>
        <v>0</v>
      </c>
      <c r="Q71" s="193" t="e">
        <f t="shared" si="20"/>
        <v>#DIV/0!</v>
      </c>
      <c r="R71" s="193">
        <f t="shared" si="27"/>
        <v>0</v>
      </c>
      <c r="T71" s="195" t="e">
        <f t="shared" si="21"/>
        <v>#DIV/0!</v>
      </c>
      <c r="U71" s="195" t="str">
        <f t="shared" si="25"/>
        <v>N/A</v>
      </c>
      <c r="V71" s="195" t="str">
        <f t="shared" si="26"/>
        <v>N/A</v>
      </c>
      <c r="X71" s="211">
        <f t="shared" si="9"/>
        <v>0</v>
      </c>
      <c r="Y71" s="211">
        <f t="shared" si="10"/>
        <v>0</v>
      </c>
      <c r="Z71" s="211">
        <f t="shared" si="11"/>
        <v>0</v>
      </c>
      <c r="AA71" s="211">
        <f t="shared" si="12"/>
        <v>0</v>
      </c>
      <c r="AB71" s="211">
        <f t="shared" si="13"/>
        <v>0</v>
      </c>
    </row>
    <row r="72" spans="1:28" x14ac:dyDescent="0.3">
      <c r="A72" s="167"/>
      <c r="B72" s="167"/>
      <c r="C72" s="192"/>
      <c r="D72" s="192"/>
      <c r="E72" s="192"/>
      <c r="F72" s="192"/>
      <c r="G72" s="192"/>
      <c r="H72" s="192"/>
      <c r="I72" s="193">
        <f t="shared" si="22"/>
        <v>0</v>
      </c>
      <c r="J72" s="193">
        <f t="shared" si="14"/>
        <v>0</v>
      </c>
      <c r="K72" s="193">
        <f t="shared" si="18"/>
        <v>0</v>
      </c>
      <c r="L72" s="193" t="e">
        <f t="shared" si="5"/>
        <v>#DIV/0!</v>
      </c>
      <c r="M72" s="193" t="e">
        <f t="shared" si="19"/>
        <v>#DIV/0!</v>
      </c>
      <c r="N72" s="193" t="e">
        <f t="shared" si="6"/>
        <v>#DIV/0!</v>
      </c>
      <c r="O72" s="193">
        <f t="shared" si="23"/>
        <v>0</v>
      </c>
      <c r="P72" s="193">
        <f t="shared" si="24"/>
        <v>0</v>
      </c>
      <c r="Q72" s="193" t="e">
        <f t="shared" si="20"/>
        <v>#DIV/0!</v>
      </c>
      <c r="R72" s="193">
        <f t="shared" si="27"/>
        <v>0</v>
      </c>
      <c r="T72" s="195" t="e">
        <f t="shared" si="21"/>
        <v>#DIV/0!</v>
      </c>
      <c r="U72" s="195" t="str">
        <f t="shared" si="25"/>
        <v>N/A</v>
      </c>
      <c r="V72" s="195" t="str">
        <f t="shared" si="26"/>
        <v>N/A</v>
      </c>
      <c r="X72" s="211">
        <f t="shared" si="9"/>
        <v>0</v>
      </c>
      <c r="Y72" s="211">
        <f t="shared" si="10"/>
        <v>0</v>
      </c>
      <c r="Z72" s="211">
        <f t="shared" si="11"/>
        <v>0</v>
      </c>
      <c r="AA72" s="211">
        <f t="shared" si="12"/>
        <v>0</v>
      </c>
      <c r="AB72" s="211">
        <f t="shared" si="13"/>
        <v>0</v>
      </c>
    </row>
    <row r="73" spans="1:28" x14ac:dyDescent="0.3">
      <c r="A73" s="167"/>
      <c r="B73" s="167"/>
      <c r="C73" s="192"/>
      <c r="D73" s="192"/>
      <c r="E73" s="192"/>
      <c r="F73" s="192"/>
      <c r="G73" s="192"/>
      <c r="H73" s="192"/>
      <c r="I73" s="193">
        <f t="shared" si="22"/>
        <v>0</v>
      </c>
      <c r="J73" s="193">
        <f t="shared" si="14"/>
        <v>0</v>
      </c>
      <c r="K73" s="193">
        <f t="shared" si="18"/>
        <v>0</v>
      </c>
      <c r="L73" s="193" t="e">
        <f t="shared" si="5"/>
        <v>#DIV/0!</v>
      </c>
      <c r="M73" s="193" t="e">
        <f t="shared" si="19"/>
        <v>#DIV/0!</v>
      </c>
      <c r="N73" s="193" t="e">
        <f t="shared" si="6"/>
        <v>#DIV/0!</v>
      </c>
      <c r="O73" s="193">
        <f t="shared" si="23"/>
        <v>0</v>
      </c>
      <c r="P73" s="193">
        <f t="shared" si="24"/>
        <v>0</v>
      </c>
      <c r="Q73" s="193" t="e">
        <f t="shared" si="20"/>
        <v>#DIV/0!</v>
      </c>
      <c r="R73" s="193">
        <f t="shared" si="27"/>
        <v>0</v>
      </c>
      <c r="T73" s="195" t="e">
        <f t="shared" si="21"/>
        <v>#DIV/0!</v>
      </c>
      <c r="U73" s="195" t="str">
        <f t="shared" si="25"/>
        <v>N/A</v>
      </c>
      <c r="V73" s="195" t="str">
        <f t="shared" si="26"/>
        <v>N/A</v>
      </c>
      <c r="X73" s="211">
        <f t="shared" si="9"/>
        <v>0</v>
      </c>
      <c r="Y73" s="211">
        <f t="shared" si="10"/>
        <v>0</v>
      </c>
      <c r="Z73" s="211">
        <f t="shared" si="11"/>
        <v>0</v>
      </c>
      <c r="AA73" s="211">
        <f t="shared" si="12"/>
        <v>0</v>
      </c>
      <c r="AB73" s="211">
        <f t="shared" si="13"/>
        <v>0</v>
      </c>
    </row>
    <row r="74" spans="1:28" x14ac:dyDescent="0.3">
      <c r="A74" s="167"/>
      <c r="B74" s="167"/>
      <c r="C74" s="192"/>
      <c r="D74" s="192"/>
      <c r="E74" s="192"/>
      <c r="F74" s="192"/>
      <c r="G74" s="192"/>
      <c r="H74" s="192"/>
      <c r="I74" s="193">
        <f t="shared" si="22"/>
        <v>0</v>
      </c>
      <c r="J74" s="193">
        <f t="shared" si="14"/>
        <v>0</v>
      </c>
      <c r="K74" s="193">
        <f t="shared" si="18"/>
        <v>0</v>
      </c>
      <c r="L74" s="193" t="e">
        <f t="shared" si="5"/>
        <v>#DIV/0!</v>
      </c>
      <c r="M74" s="193" t="e">
        <f t="shared" si="19"/>
        <v>#DIV/0!</v>
      </c>
      <c r="N74" s="193" t="e">
        <f t="shared" si="6"/>
        <v>#DIV/0!</v>
      </c>
      <c r="O74" s="193">
        <f t="shared" si="23"/>
        <v>0</v>
      </c>
      <c r="P74" s="193">
        <f t="shared" si="24"/>
        <v>0</v>
      </c>
      <c r="Q74" s="193" t="e">
        <f t="shared" si="20"/>
        <v>#DIV/0!</v>
      </c>
      <c r="R74" s="193">
        <f t="shared" si="27"/>
        <v>0</v>
      </c>
      <c r="T74" s="195" t="e">
        <f t="shared" si="21"/>
        <v>#DIV/0!</v>
      </c>
      <c r="U74" s="195" t="str">
        <f t="shared" si="25"/>
        <v>N/A</v>
      </c>
      <c r="V74" s="195" t="str">
        <f t="shared" si="26"/>
        <v>N/A</v>
      </c>
      <c r="X74" s="211">
        <f t="shared" si="9"/>
        <v>0</v>
      </c>
      <c r="Y74" s="211">
        <f t="shared" si="10"/>
        <v>0</v>
      </c>
      <c r="Z74" s="211">
        <f t="shared" si="11"/>
        <v>0</v>
      </c>
      <c r="AA74" s="211">
        <f t="shared" si="12"/>
        <v>0</v>
      </c>
      <c r="AB74" s="211">
        <f t="shared" si="13"/>
        <v>0</v>
      </c>
    </row>
    <row r="75" spans="1:28" x14ac:dyDescent="0.3">
      <c r="A75" s="167"/>
      <c r="B75" s="167"/>
      <c r="C75" s="192"/>
      <c r="D75" s="192"/>
      <c r="E75" s="192"/>
      <c r="F75" s="192"/>
      <c r="G75" s="192"/>
      <c r="H75" s="192"/>
      <c r="I75" s="193">
        <f t="shared" si="22"/>
        <v>0</v>
      </c>
      <c r="J75" s="193">
        <f t="shared" si="14"/>
        <v>0</v>
      </c>
      <c r="K75" s="193">
        <f t="shared" si="18"/>
        <v>0</v>
      </c>
      <c r="L75" s="193" t="e">
        <f t="shared" si="5"/>
        <v>#DIV/0!</v>
      </c>
      <c r="M75" s="193" t="e">
        <f t="shared" si="19"/>
        <v>#DIV/0!</v>
      </c>
      <c r="N75" s="193" t="e">
        <f t="shared" si="6"/>
        <v>#DIV/0!</v>
      </c>
      <c r="O75" s="193">
        <f t="shared" si="23"/>
        <v>0</v>
      </c>
      <c r="P75" s="193">
        <f t="shared" si="24"/>
        <v>0</v>
      </c>
      <c r="Q75" s="193" t="e">
        <f t="shared" si="20"/>
        <v>#DIV/0!</v>
      </c>
      <c r="R75" s="193">
        <f t="shared" si="27"/>
        <v>0</v>
      </c>
      <c r="T75" s="195" t="e">
        <f t="shared" si="21"/>
        <v>#DIV/0!</v>
      </c>
      <c r="U75" s="195" t="str">
        <f t="shared" si="25"/>
        <v>N/A</v>
      </c>
      <c r="V75" s="195" t="str">
        <f t="shared" si="26"/>
        <v>N/A</v>
      </c>
      <c r="X75" s="211">
        <f t="shared" si="9"/>
        <v>0</v>
      </c>
      <c r="Y75" s="211">
        <f t="shared" si="10"/>
        <v>0</v>
      </c>
      <c r="Z75" s="211">
        <f t="shared" si="11"/>
        <v>0</v>
      </c>
      <c r="AA75" s="211">
        <f t="shared" si="12"/>
        <v>0</v>
      </c>
      <c r="AB75" s="211">
        <f t="shared" si="13"/>
        <v>0</v>
      </c>
    </row>
    <row r="76" spans="1:28" x14ac:dyDescent="0.3">
      <c r="A76" s="167"/>
      <c r="B76" s="167"/>
      <c r="C76" s="192"/>
      <c r="D76" s="192"/>
      <c r="E76" s="192"/>
      <c r="F76" s="192"/>
      <c r="G76" s="192"/>
      <c r="H76" s="192"/>
      <c r="I76" s="193">
        <f t="shared" si="22"/>
        <v>0</v>
      </c>
      <c r="J76" s="193">
        <f t="shared" si="14"/>
        <v>0</v>
      </c>
      <c r="K76" s="193">
        <f t="shared" si="18"/>
        <v>0</v>
      </c>
      <c r="L76" s="193" t="e">
        <f t="shared" si="5"/>
        <v>#DIV/0!</v>
      </c>
      <c r="M76" s="193" t="e">
        <f t="shared" si="19"/>
        <v>#DIV/0!</v>
      </c>
      <c r="N76" s="193" t="e">
        <f t="shared" si="6"/>
        <v>#DIV/0!</v>
      </c>
      <c r="O76" s="193">
        <f t="shared" si="23"/>
        <v>0</v>
      </c>
      <c r="P76" s="193">
        <f t="shared" si="24"/>
        <v>0</v>
      </c>
      <c r="Q76" s="193" t="e">
        <f t="shared" si="20"/>
        <v>#DIV/0!</v>
      </c>
      <c r="R76" s="193">
        <f t="shared" si="27"/>
        <v>0</v>
      </c>
      <c r="T76" s="195" t="e">
        <f t="shared" si="21"/>
        <v>#DIV/0!</v>
      </c>
      <c r="U76" s="195" t="str">
        <f t="shared" si="25"/>
        <v>N/A</v>
      </c>
      <c r="V76" s="195" t="str">
        <f t="shared" si="26"/>
        <v>N/A</v>
      </c>
      <c r="X76" s="211">
        <f t="shared" si="9"/>
        <v>0</v>
      </c>
      <c r="Y76" s="211">
        <f t="shared" si="10"/>
        <v>0</v>
      </c>
      <c r="Z76" s="211">
        <f t="shared" si="11"/>
        <v>0</v>
      </c>
      <c r="AA76" s="211">
        <f t="shared" si="12"/>
        <v>0</v>
      </c>
      <c r="AB76" s="211">
        <f t="shared" si="13"/>
        <v>0</v>
      </c>
    </row>
    <row r="77" spans="1:28" x14ac:dyDescent="0.3">
      <c r="A77" s="167"/>
      <c r="B77" s="167"/>
      <c r="C77" s="192"/>
      <c r="D77" s="192"/>
      <c r="E77" s="192"/>
      <c r="F77" s="192"/>
      <c r="G77" s="192"/>
      <c r="H77" s="192"/>
      <c r="I77" s="193">
        <f t="shared" si="22"/>
        <v>0</v>
      </c>
      <c r="J77" s="193">
        <f t="shared" si="14"/>
        <v>0</v>
      </c>
      <c r="K77" s="193">
        <f t="shared" si="18"/>
        <v>0</v>
      </c>
      <c r="L77" s="193" t="e">
        <f t="shared" si="5"/>
        <v>#DIV/0!</v>
      </c>
      <c r="M77" s="193" t="e">
        <f t="shared" si="19"/>
        <v>#DIV/0!</v>
      </c>
      <c r="N77" s="193" t="e">
        <f t="shared" si="6"/>
        <v>#DIV/0!</v>
      </c>
      <c r="O77" s="193">
        <f t="shared" si="23"/>
        <v>0</v>
      </c>
      <c r="P77" s="193">
        <f t="shared" si="24"/>
        <v>0</v>
      </c>
      <c r="Q77" s="193" t="e">
        <f t="shared" si="20"/>
        <v>#DIV/0!</v>
      </c>
      <c r="R77" s="193">
        <f t="shared" si="27"/>
        <v>0</v>
      </c>
      <c r="T77" s="195" t="e">
        <f t="shared" si="21"/>
        <v>#DIV/0!</v>
      </c>
      <c r="U77" s="195" t="str">
        <f t="shared" si="25"/>
        <v>N/A</v>
      </c>
      <c r="V77" s="195" t="str">
        <f t="shared" si="26"/>
        <v>N/A</v>
      </c>
      <c r="X77" s="211">
        <f t="shared" si="9"/>
        <v>0</v>
      </c>
      <c r="Y77" s="211">
        <f t="shared" si="10"/>
        <v>0</v>
      </c>
      <c r="Z77" s="211">
        <f t="shared" si="11"/>
        <v>0</v>
      </c>
      <c r="AA77" s="211">
        <f t="shared" si="12"/>
        <v>0</v>
      </c>
      <c r="AB77" s="211">
        <f t="shared" si="13"/>
        <v>0</v>
      </c>
    </row>
    <row r="78" spans="1:28" x14ac:dyDescent="0.3">
      <c r="A78" s="167"/>
      <c r="B78" s="167"/>
      <c r="C78" s="192"/>
      <c r="D78" s="192"/>
      <c r="E78" s="192"/>
      <c r="F78" s="192"/>
      <c r="G78" s="192"/>
      <c r="H78" s="192"/>
      <c r="I78" s="193">
        <f t="shared" ref="I78:I109" si="28">IF(B78="YES",(C78-E78)*(1-B72),C78-E78)</f>
        <v>0</v>
      </c>
      <c r="J78" s="193">
        <f t="shared" si="14"/>
        <v>0</v>
      </c>
      <c r="K78" s="193">
        <f t="shared" si="18"/>
        <v>0</v>
      </c>
      <c r="L78" s="193" t="e">
        <f t="shared" si="5"/>
        <v>#DIV/0!</v>
      </c>
      <c r="M78" s="193" t="e">
        <f t="shared" si="19"/>
        <v>#DIV/0!</v>
      </c>
      <c r="N78" s="193" t="e">
        <f t="shared" si="6"/>
        <v>#DIV/0!</v>
      </c>
      <c r="O78" s="193">
        <f t="shared" ref="O78:O109" si="29">IF(B78="YES",F78*(1-B72),F78)</f>
        <v>0</v>
      </c>
      <c r="P78" s="193">
        <f t="shared" ref="P78:P109" si="30">IF(B78="YES",H78*(1-B72),H78)</f>
        <v>0</v>
      </c>
      <c r="Q78" s="193" t="e">
        <f t="shared" si="20"/>
        <v>#DIV/0!</v>
      </c>
      <c r="R78" s="193">
        <f t="shared" si="27"/>
        <v>0</v>
      </c>
      <c r="T78" s="195" t="e">
        <f t="shared" si="21"/>
        <v>#DIV/0!</v>
      </c>
      <c r="U78" s="195" t="str">
        <f t="shared" ref="U78:U114" si="31">IF(B78="YES",IF($B$8&gt;0,IF(R78&lt;Q78,Q78-ROUND($B$8,4)*(Q78-R78),Q78*(1-$B$8)),"N/A"),IF($B$8&gt;0,IF(R78&lt;Q78,Q78-ROUND($B$8,4)*(Q78-R78),Q78),"N/A"))</f>
        <v>N/A</v>
      </c>
      <c r="V78" s="195" t="str">
        <f t="shared" ref="V78:V114" si="32">IF(B78="YES","N/A", IF($B$4="MFJ",IF($B$5&gt;($E$5+100000),IF(Q78&lt;R78,Q78,R78),"N/A"),IF($B$5&gt;($E$6+50000),IF(Q78&lt;R78,Q78,R78),"N/A")))</f>
        <v>N/A</v>
      </c>
      <c r="X78" s="211">
        <f t="shared" si="9"/>
        <v>0</v>
      </c>
      <c r="Y78" s="211">
        <f t="shared" si="10"/>
        <v>0</v>
      </c>
      <c r="Z78" s="211">
        <f t="shared" si="11"/>
        <v>0</v>
      </c>
      <c r="AA78" s="211">
        <f t="shared" si="12"/>
        <v>0</v>
      </c>
      <c r="AB78" s="211">
        <f t="shared" si="13"/>
        <v>0</v>
      </c>
    </row>
    <row r="79" spans="1:28" x14ac:dyDescent="0.3">
      <c r="A79" s="167"/>
      <c r="B79" s="167"/>
      <c r="C79" s="192"/>
      <c r="D79" s="192"/>
      <c r="E79" s="192"/>
      <c r="F79" s="192"/>
      <c r="G79" s="192"/>
      <c r="H79" s="192"/>
      <c r="I79" s="193">
        <f t="shared" si="28"/>
        <v>0</v>
      </c>
      <c r="J79" s="193">
        <f t="shared" si="14"/>
        <v>0</v>
      </c>
      <c r="K79" s="193">
        <f t="shared" si="18"/>
        <v>0</v>
      </c>
      <c r="L79" s="193" t="e">
        <f t="shared" ref="L79:L114" si="33">IF(K79=0,IF($I$118="QBL",-J79,J79/$J$117*$K$117),IF($I$118="QBL",$J$117/$K$117*K79,-K79/$K$117*K79))</f>
        <v>#DIV/0!</v>
      </c>
      <c r="M79" s="193" t="e">
        <f t="shared" si="19"/>
        <v>#DIV/0!</v>
      </c>
      <c r="N79" s="193" t="e">
        <f t="shared" ref="N79:N114" si="34">IF(M79&lt;0,M79,0)</f>
        <v>#DIV/0!</v>
      </c>
      <c r="O79" s="193">
        <f t="shared" si="29"/>
        <v>0</v>
      </c>
      <c r="P79" s="193">
        <f t="shared" si="30"/>
        <v>0</v>
      </c>
      <c r="Q79" s="193" t="e">
        <f t="shared" si="20"/>
        <v>#DIV/0!</v>
      </c>
      <c r="R79" s="193">
        <f t="shared" ref="R79:R114" si="35">IF(F79*0.5&gt;0.25*F79+0.025*H79,F79*0.5,0.25*F79+0.025*H79)</f>
        <v>0</v>
      </c>
      <c r="T79" s="195" t="e">
        <f t="shared" si="21"/>
        <v>#DIV/0!</v>
      </c>
      <c r="U79" s="195" t="str">
        <f t="shared" si="31"/>
        <v>N/A</v>
      </c>
      <c r="V79" s="195" t="str">
        <f t="shared" si="32"/>
        <v>N/A</v>
      </c>
      <c r="X79" s="211">
        <f t="shared" ref="X79:X114" si="36">D79</f>
        <v>0</v>
      </c>
      <c r="Y79" s="211">
        <f t="shared" ref="Y79:Y114" si="37">X79*0.09</f>
        <v>0</v>
      </c>
      <c r="Z79" s="211">
        <f t="shared" ref="Z79:Z114" si="38">G79</f>
        <v>0</v>
      </c>
      <c r="AA79" s="211">
        <f t="shared" ref="AA79:AA114" si="39">0.5*Z79</f>
        <v>0</v>
      </c>
      <c r="AB79" s="211">
        <f t="shared" ref="AB79:AB114" si="40">IF(Y79&lt;AA79,Y79,AA79)</f>
        <v>0</v>
      </c>
    </row>
    <row r="80" spans="1:28" x14ac:dyDescent="0.3">
      <c r="A80" s="167"/>
      <c r="B80" s="167"/>
      <c r="C80" s="192"/>
      <c r="D80" s="192"/>
      <c r="E80" s="192"/>
      <c r="F80" s="192"/>
      <c r="G80" s="192"/>
      <c r="H80" s="192"/>
      <c r="I80" s="193">
        <f t="shared" si="28"/>
        <v>0</v>
      </c>
      <c r="J80" s="193">
        <f t="shared" si="14"/>
        <v>0</v>
      </c>
      <c r="K80" s="193">
        <f t="shared" si="18"/>
        <v>0</v>
      </c>
      <c r="L80" s="193" t="e">
        <f t="shared" si="33"/>
        <v>#DIV/0!</v>
      </c>
      <c r="M80" s="193" t="e">
        <f t="shared" si="19"/>
        <v>#DIV/0!</v>
      </c>
      <c r="N80" s="193" t="e">
        <f t="shared" si="34"/>
        <v>#DIV/0!</v>
      </c>
      <c r="O80" s="193">
        <f t="shared" si="29"/>
        <v>0</v>
      </c>
      <c r="P80" s="193">
        <f t="shared" si="30"/>
        <v>0</v>
      </c>
      <c r="Q80" s="193" t="e">
        <f t="shared" si="20"/>
        <v>#DIV/0!</v>
      </c>
      <c r="R80" s="193">
        <f t="shared" si="35"/>
        <v>0</v>
      </c>
      <c r="T80" s="195" t="e">
        <f t="shared" si="21"/>
        <v>#DIV/0!</v>
      </c>
      <c r="U80" s="195" t="str">
        <f t="shared" si="31"/>
        <v>N/A</v>
      </c>
      <c r="V80" s="195" t="str">
        <f t="shared" si="32"/>
        <v>N/A</v>
      </c>
      <c r="X80" s="211">
        <f t="shared" si="36"/>
        <v>0</v>
      </c>
      <c r="Y80" s="211">
        <f t="shared" si="37"/>
        <v>0</v>
      </c>
      <c r="Z80" s="211">
        <f t="shared" si="38"/>
        <v>0</v>
      </c>
      <c r="AA80" s="211">
        <f t="shared" si="39"/>
        <v>0</v>
      </c>
      <c r="AB80" s="211">
        <f t="shared" si="40"/>
        <v>0</v>
      </c>
    </row>
    <row r="81" spans="1:28" x14ac:dyDescent="0.3">
      <c r="A81" s="167"/>
      <c r="B81" s="167"/>
      <c r="C81" s="192"/>
      <c r="D81" s="192"/>
      <c r="E81" s="192"/>
      <c r="F81" s="192"/>
      <c r="G81" s="192"/>
      <c r="H81" s="192"/>
      <c r="I81" s="193">
        <f t="shared" si="28"/>
        <v>0</v>
      </c>
      <c r="J81" s="193">
        <f t="shared" si="14"/>
        <v>0</v>
      </c>
      <c r="K81" s="193">
        <f t="shared" si="18"/>
        <v>0</v>
      </c>
      <c r="L81" s="193" t="e">
        <f t="shared" si="33"/>
        <v>#DIV/0!</v>
      </c>
      <c r="M81" s="193" t="e">
        <f t="shared" si="19"/>
        <v>#DIV/0!</v>
      </c>
      <c r="N81" s="193" t="e">
        <f t="shared" si="34"/>
        <v>#DIV/0!</v>
      </c>
      <c r="O81" s="193">
        <f t="shared" si="29"/>
        <v>0</v>
      </c>
      <c r="P81" s="193">
        <f t="shared" si="30"/>
        <v>0</v>
      </c>
      <c r="Q81" s="193" t="e">
        <f t="shared" si="20"/>
        <v>#DIV/0!</v>
      </c>
      <c r="R81" s="193">
        <f t="shared" si="35"/>
        <v>0</v>
      </c>
      <c r="T81" s="195" t="e">
        <f t="shared" si="21"/>
        <v>#DIV/0!</v>
      </c>
      <c r="U81" s="195" t="str">
        <f t="shared" si="31"/>
        <v>N/A</v>
      </c>
      <c r="V81" s="195" t="str">
        <f t="shared" si="32"/>
        <v>N/A</v>
      </c>
      <c r="X81" s="211">
        <f t="shared" si="36"/>
        <v>0</v>
      </c>
      <c r="Y81" s="211">
        <f t="shared" si="37"/>
        <v>0</v>
      </c>
      <c r="Z81" s="211">
        <f t="shared" si="38"/>
        <v>0</v>
      </c>
      <c r="AA81" s="211">
        <f t="shared" si="39"/>
        <v>0</v>
      </c>
      <c r="AB81" s="211">
        <f t="shared" si="40"/>
        <v>0</v>
      </c>
    </row>
    <row r="82" spans="1:28" x14ac:dyDescent="0.3">
      <c r="A82" s="167"/>
      <c r="B82" s="167"/>
      <c r="C82" s="192"/>
      <c r="D82" s="192"/>
      <c r="E82" s="192"/>
      <c r="F82" s="192"/>
      <c r="G82" s="192"/>
      <c r="H82" s="192"/>
      <c r="I82" s="193">
        <f t="shared" si="28"/>
        <v>0</v>
      </c>
      <c r="J82" s="193">
        <f t="shared" si="14"/>
        <v>0</v>
      </c>
      <c r="K82" s="193">
        <f t="shared" si="18"/>
        <v>0</v>
      </c>
      <c r="L82" s="193" t="e">
        <f t="shared" si="33"/>
        <v>#DIV/0!</v>
      </c>
      <c r="M82" s="193" t="e">
        <f t="shared" si="19"/>
        <v>#DIV/0!</v>
      </c>
      <c r="N82" s="193" t="e">
        <f t="shared" si="34"/>
        <v>#DIV/0!</v>
      </c>
      <c r="O82" s="193">
        <f t="shared" si="29"/>
        <v>0</v>
      </c>
      <c r="P82" s="193">
        <f t="shared" si="30"/>
        <v>0</v>
      </c>
      <c r="Q82" s="193" t="e">
        <f t="shared" si="20"/>
        <v>#DIV/0!</v>
      </c>
      <c r="R82" s="193">
        <f t="shared" si="35"/>
        <v>0</v>
      </c>
      <c r="T82" s="195" t="e">
        <f t="shared" si="21"/>
        <v>#DIV/0!</v>
      </c>
      <c r="U82" s="195" t="str">
        <f t="shared" si="31"/>
        <v>N/A</v>
      </c>
      <c r="V82" s="195" t="str">
        <f t="shared" si="32"/>
        <v>N/A</v>
      </c>
      <c r="X82" s="211">
        <f t="shared" si="36"/>
        <v>0</v>
      </c>
      <c r="Y82" s="211">
        <f t="shared" si="37"/>
        <v>0</v>
      </c>
      <c r="Z82" s="211">
        <f t="shared" si="38"/>
        <v>0</v>
      </c>
      <c r="AA82" s="211">
        <f t="shared" si="39"/>
        <v>0</v>
      </c>
      <c r="AB82" s="211">
        <f t="shared" si="40"/>
        <v>0</v>
      </c>
    </row>
    <row r="83" spans="1:28" x14ac:dyDescent="0.3">
      <c r="A83" s="167"/>
      <c r="B83" s="167"/>
      <c r="C83" s="192"/>
      <c r="D83" s="192"/>
      <c r="E83" s="192"/>
      <c r="F83" s="192"/>
      <c r="G83" s="192"/>
      <c r="H83" s="192"/>
      <c r="I83" s="193">
        <f t="shared" si="28"/>
        <v>0</v>
      </c>
      <c r="J83" s="193">
        <f t="shared" si="14"/>
        <v>0</v>
      </c>
      <c r="K83" s="193">
        <f t="shared" si="18"/>
        <v>0</v>
      </c>
      <c r="L83" s="193" t="e">
        <f t="shared" si="33"/>
        <v>#DIV/0!</v>
      </c>
      <c r="M83" s="193" t="e">
        <f t="shared" si="19"/>
        <v>#DIV/0!</v>
      </c>
      <c r="N83" s="193" t="e">
        <f t="shared" si="34"/>
        <v>#DIV/0!</v>
      </c>
      <c r="O83" s="193">
        <f t="shared" si="29"/>
        <v>0</v>
      </c>
      <c r="P83" s="193">
        <f t="shared" si="30"/>
        <v>0</v>
      </c>
      <c r="Q83" s="193" t="e">
        <f t="shared" si="20"/>
        <v>#DIV/0!</v>
      </c>
      <c r="R83" s="193">
        <f t="shared" si="35"/>
        <v>0</v>
      </c>
      <c r="T83" s="195" t="e">
        <f t="shared" si="21"/>
        <v>#DIV/0!</v>
      </c>
      <c r="U83" s="195" t="str">
        <f t="shared" si="31"/>
        <v>N/A</v>
      </c>
      <c r="V83" s="195" t="str">
        <f t="shared" si="32"/>
        <v>N/A</v>
      </c>
      <c r="X83" s="211">
        <f t="shared" si="36"/>
        <v>0</v>
      </c>
      <c r="Y83" s="211">
        <f t="shared" si="37"/>
        <v>0</v>
      </c>
      <c r="Z83" s="211">
        <f t="shared" si="38"/>
        <v>0</v>
      </c>
      <c r="AA83" s="211">
        <f t="shared" si="39"/>
        <v>0</v>
      </c>
      <c r="AB83" s="211">
        <f t="shared" si="40"/>
        <v>0</v>
      </c>
    </row>
    <row r="84" spans="1:28" x14ac:dyDescent="0.3">
      <c r="A84" s="167"/>
      <c r="B84" s="167"/>
      <c r="C84" s="192"/>
      <c r="D84" s="192"/>
      <c r="E84" s="192"/>
      <c r="F84" s="192"/>
      <c r="G84" s="192"/>
      <c r="H84" s="192"/>
      <c r="I84" s="193">
        <f t="shared" si="28"/>
        <v>0</v>
      </c>
      <c r="J84" s="193">
        <f t="shared" si="14"/>
        <v>0</v>
      </c>
      <c r="K84" s="193">
        <f t="shared" si="18"/>
        <v>0</v>
      </c>
      <c r="L84" s="193" t="e">
        <f t="shared" si="33"/>
        <v>#DIV/0!</v>
      </c>
      <c r="M84" s="193" t="e">
        <f t="shared" si="19"/>
        <v>#DIV/0!</v>
      </c>
      <c r="N84" s="193" t="e">
        <f t="shared" si="34"/>
        <v>#DIV/0!</v>
      </c>
      <c r="O84" s="193">
        <f t="shared" si="29"/>
        <v>0</v>
      </c>
      <c r="P84" s="193">
        <f t="shared" si="30"/>
        <v>0</v>
      </c>
      <c r="Q84" s="193" t="e">
        <f t="shared" si="20"/>
        <v>#DIV/0!</v>
      </c>
      <c r="R84" s="193">
        <f t="shared" si="35"/>
        <v>0</v>
      </c>
      <c r="T84" s="195" t="e">
        <f t="shared" si="21"/>
        <v>#DIV/0!</v>
      </c>
      <c r="U84" s="195" t="str">
        <f t="shared" si="31"/>
        <v>N/A</v>
      </c>
      <c r="V84" s="195" t="str">
        <f t="shared" si="32"/>
        <v>N/A</v>
      </c>
      <c r="X84" s="211">
        <f t="shared" si="36"/>
        <v>0</v>
      </c>
      <c r="Y84" s="211">
        <f t="shared" si="37"/>
        <v>0</v>
      </c>
      <c r="Z84" s="211">
        <f t="shared" si="38"/>
        <v>0</v>
      </c>
      <c r="AA84" s="211">
        <f t="shared" si="39"/>
        <v>0</v>
      </c>
      <c r="AB84" s="211">
        <f t="shared" si="40"/>
        <v>0</v>
      </c>
    </row>
    <row r="85" spans="1:28" x14ac:dyDescent="0.3">
      <c r="A85" s="167"/>
      <c r="B85" s="167"/>
      <c r="C85" s="192"/>
      <c r="D85" s="192"/>
      <c r="E85" s="192"/>
      <c r="F85" s="192"/>
      <c r="G85" s="192"/>
      <c r="H85" s="192"/>
      <c r="I85" s="193">
        <f t="shared" si="28"/>
        <v>0</v>
      </c>
      <c r="J85" s="193">
        <f t="shared" si="14"/>
        <v>0</v>
      </c>
      <c r="K85" s="193">
        <f t="shared" si="18"/>
        <v>0</v>
      </c>
      <c r="L85" s="193" t="e">
        <f t="shared" si="33"/>
        <v>#DIV/0!</v>
      </c>
      <c r="M85" s="193" t="e">
        <f t="shared" si="19"/>
        <v>#DIV/0!</v>
      </c>
      <c r="N85" s="193" t="e">
        <f t="shared" si="34"/>
        <v>#DIV/0!</v>
      </c>
      <c r="O85" s="193">
        <f t="shared" si="29"/>
        <v>0</v>
      </c>
      <c r="P85" s="193">
        <f t="shared" si="30"/>
        <v>0</v>
      </c>
      <c r="Q85" s="193" t="e">
        <f t="shared" si="20"/>
        <v>#DIV/0!</v>
      </c>
      <c r="R85" s="193">
        <f t="shared" si="35"/>
        <v>0</v>
      </c>
      <c r="T85" s="195" t="e">
        <f t="shared" si="21"/>
        <v>#DIV/0!</v>
      </c>
      <c r="U85" s="195" t="str">
        <f t="shared" si="31"/>
        <v>N/A</v>
      </c>
      <c r="V85" s="195" t="str">
        <f t="shared" si="32"/>
        <v>N/A</v>
      </c>
      <c r="X85" s="211">
        <f t="shared" si="36"/>
        <v>0</v>
      </c>
      <c r="Y85" s="211">
        <f t="shared" si="37"/>
        <v>0</v>
      </c>
      <c r="Z85" s="211">
        <f t="shared" si="38"/>
        <v>0</v>
      </c>
      <c r="AA85" s="211">
        <f t="shared" si="39"/>
        <v>0</v>
      </c>
      <c r="AB85" s="211">
        <f t="shared" si="40"/>
        <v>0</v>
      </c>
    </row>
    <row r="86" spans="1:28" x14ac:dyDescent="0.3">
      <c r="A86" s="167"/>
      <c r="B86" s="167"/>
      <c r="C86" s="192"/>
      <c r="D86" s="192"/>
      <c r="E86" s="192"/>
      <c r="F86" s="192"/>
      <c r="G86" s="192"/>
      <c r="H86" s="192"/>
      <c r="I86" s="193">
        <f t="shared" si="28"/>
        <v>0</v>
      </c>
      <c r="J86" s="193">
        <f t="shared" si="14"/>
        <v>0</v>
      </c>
      <c r="K86" s="193">
        <f t="shared" si="18"/>
        <v>0</v>
      </c>
      <c r="L86" s="193" t="e">
        <f t="shared" si="33"/>
        <v>#DIV/0!</v>
      </c>
      <c r="M86" s="193" t="e">
        <f t="shared" si="19"/>
        <v>#DIV/0!</v>
      </c>
      <c r="N86" s="193" t="e">
        <f t="shared" si="34"/>
        <v>#DIV/0!</v>
      </c>
      <c r="O86" s="193">
        <f t="shared" si="29"/>
        <v>0</v>
      </c>
      <c r="P86" s="193">
        <f t="shared" si="30"/>
        <v>0</v>
      </c>
      <c r="Q86" s="193" t="e">
        <f t="shared" si="20"/>
        <v>#DIV/0!</v>
      </c>
      <c r="R86" s="193">
        <f t="shared" si="35"/>
        <v>0</v>
      </c>
      <c r="T86" s="195" t="e">
        <f t="shared" si="21"/>
        <v>#DIV/0!</v>
      </c>
      <c r="U86" s="195" t="str">
        <f t="shared" si="31"/>
        <v>N/A</v>
      </c>
      <c r="V86" s="195" t="str">
        <f t="shared" si="32"/>
        <v>N/A</v>
      </c>
      <c r="X86" s="211">
        <f t="shared" si="36"/>
        <v>0</v>
      </c>
      <c r="Y86" s="211">
        <f t="shared" si="37"/>
        <v>0</v>
      </c>
      <c r="Z86" s="211">
        <f t="shared" si="38"/>
        <v>0</v>
      </c>
      <c r="AA86" s="211">
        <f t="shared" si="39"/>
        <v>0</v>
      </c>
      <c r="AB86" s="211">
        <f t="shared" si="40"/>
        <v>0</v>
      </c>
    </row>
    <row r="87" spans="1:28" x14ac:dyDescent="0.3">
      <c r="A87" s="167"/>
      <c r="B87" s="167"/>
      <c r="C87" s="192"/>
      <c r="D87" s="192"/>
      <c r="E87" s="192"/>
      <c r="F87" s="192"/>
      <c r="G87" s="192"/>
      <c r="H87" s="192"/>
      <c r="I87" s="193">
        <f t="shared" si="28"/>
        <v>0</v>
      </c>
      <c r="J87" s="193">
        <f t="shared" si="14"/>
        <v>0</v>
      </c>
      <c r="K87" s="193">
        <f t="shared" si="18"/>
        <v>0</v>
      </c>
      <c r="L87" s="193" t="e">
        <f t="shared" si="33"/>
        <v>#DIV/0!</v>
      </c>
      <c r="M87" s="193" t="e">
        <f t="shared" si="19"/>
        <v>#DIV/0!</v>
      </c>
      <c r="N87" s="193" t="e">
        <f t="shared" si="34"/>
        <v>#DIV/0!</v>
      </c>
      <c r="O87" s="193">
        <f t="shared" si="29"/>
        <v>0</v>
      </c>
      <c r="P87" s="193">
        <f t="shared" si="30"/>
        <v>0</v>
      </c>
      <c r="Q87" s="193" t="e">
        <f t="shared" si="20"/>
        <v>#DIV/0!</v>
      </c>
      <c r="R87" s="193">
        <f t="shared" si="35"/>
        <v>0</v>
      </c>
      <c r="T87" s="195" t="e">
        <f t="shared" si="21"/>
        <v>#DIV/0!</v>
      </c>
      <c r="U87" s="195" t="str">
        <f t="shared" si="31"/>
        <v>N/A</v>
      </c>
      <c r="V87" s="195" t="str">
        <f t="shared" si="32"/>
        <v>N/A</v>
      </c>
      <c r="X87" s="211">
        <f t="shared" si="36"/>
        <v>0</v>
      </c>
      <c r="Y87" s="211">
        <f t="shared" si="37"/>
        <v>0</v>
      </c>
      <c r="Z87" s="211">
        <f t="shared" si="38"/>
        <v>0</v>
      </c>
      <c r="AA87" s="211">
        <f t="shared" si="39"/>
        <v>0</v>
      </c>
      <c r="AB87" s="211">
        <f t="shared" si="40"/>
        <v>0</v>
      </c>
    </row>
    <row r="88" spans="1:28" x14ac:dyDescent="0.3">
      <c r="A88" s="167"/>
      <c r="B88" s="167"/>
      <c r="C88" s="192"/>
      <c r="D88" s="192"/>
      <c r="E88" s="192"/>
      <c r="F88" s="192"/>
      <c r="G88" s="192"/>
      <c r="H88" s="192"/>
      <c r="I88" s="193">
        <f t="shared" si="28"/>
        <v>0</v>
      </c>
      <c r="J88" s="193">
        <f t="shared" si="14"/>
        <v>0</v>
      </c>
      <c r="K88" s="193">
        <f t="shared" si="18"/>
        <v>0</v>
      </c>
      <c r="L88" s="193" t="e">
        <f t="shared" si="33"/>
        <v>#DIV/0!</v>
      </c>
      <c r="M88" s="193" t="e">
        <f t="shared" si="19"/>
        <v>#DIV/0!</v>
      </c>
      <c r="N88" s="193" t="e">
        <f t="shared" si="34"/>
        <v>#DIV/0!</v>
      </c>
      <c r="O88" s="193">
        <f t="shared" si="29"/>
        <v>0</v>
      </c>
      <c r="P88" s="193">
        <f t="shared" si="30"/>
        <v>0</v>
      </c>
      <c r="Q88" s="193" t="e">
        <f t="shared" si="20"/>
        <v>#DIV/0!</v>
      </c>
      <c r="R88" s="193">
        <f t="shared" si="35"/>
        <v>0</v>
      </c>
      <c r="T88" s="195" t="e">
        <f t="shared" si="21"/>
        <v>#DIV/0!</v>
      </c>
      <c r="U88" s="195" t="str">
        <f t="shared" si="31"/>
        <v>N/A</v>
      </c>
      <c r="V88" s="195" t="str">
        <f t="shared" si="32"/>
        <v>N/A</v>
      </c>
      <c r="X88" s="211">
        <f t="shared" si="36"/>
        <v>0</v>
      </c>
      <c r="Y88" s="211">
        <f t="shared" si="37"/>
        <v>0</v>
      </c>
      <c r="Z88" s="211">
        <f t="shared" si="38"/>
        <v>0</v>
      </c>
      <c r="AA88" s="211">
        <f t="shared" si="39"/>
        <v>0</v>
      </c>
      <c r="AB88" s="211">
        <f t="shared" si="40"/>
        <v>0</v>
      </c>
    </row>
    <row r="89" spans="1:28" x14ac:dyDescent="0.3">
      <c r="A89" s="167"/>
      <c r="B89" s="167"/>
      <c r="C89" s="192"/>
      <c r="D89" s="192"/>
      <c r="E89" s="192"/>
      <c r="F89" s="192"/>
      <c r="G89" s="192"/>
      <c r="H89" s="192"/>
      <c r="I89" s="193">
        <f t="shared" si="28"/>
        <v>0</v>
      </c>
      <c r="J89" s="193">
        <f t="shared" si="14"/>
        <v>0</v>
      </c>
      <c r="K89" s="193">
        <f t="shared" si="18"/>
        <v>0</v>
      </c>
      <c r="L89" s="193" t="e">
        <f t="shared" si="33"/>
        <v>#DIV/0!</v>
      </c>
      <c r="M89" s="193" t="e">
        <f t="shared" si="19"/>
        <v>#DIV/0!</v>
      </c>
      <c r="N89" s="193" t="e">
        <f t="shared" si="34"/>
        <v>#DIV/0!</v>
      </c>
      <c r="O89" s="193">
        <f t="shared" si="29"/>
        <v>0</v>
      </c>
      <c r="P89" s="193">
        <f t="shared" si="30"/>
        <v>0</v>
      </c>
      <c r="Q89" s="193" t="e">
        <f t="shared" si="20"/>
        <v>#DIV/0!</v>
      </c>
      <c r="R89" s="193">
        <f t="shared" si="35"/>
        <v>0</v>
      </c>
      <c r="T89" s="195" t="e">
        <f t="shared" si="21"/>
        <v>#DIV/0!</v>
      </c>
      <c r="U89" s="195" t="str">
        <f t="shared" si="31"/>
        <v>N/A</v>
      </c>
      <c r="V89" s="195" t="str">
        <f t="shared" si="32"/>
        <v>N/A</v>
      </c>
      <c r="X89" s="211">
        <f t="shared" si="36"/>
        <v>0</v>
      </c>
      <c r="Y89" s="211">
        <f t="shared" si="37"/>
        <v>0</v>
      </c>
      <c r="Z89" s="211">
        <f t="shared" si="38"/>
        <v>0</v>
      </c>
      <c r="AA89" s="211">
        <f t="shared" si="39"/>
        <v>0</v>
      </c>
      <c r="AB89" s="211">
        <f t="shared" si="40"/>
        <v>0</v>
      </c>
    </row>
    <row r="90" spans="1:28" x14ac:dyDescent="0.3">
      <c r="A90" s="167"/>
      <c r="B90" s="167"/>
      <c r="C90" s="192"/>
      <c r="D90" s="192"/>
      <c r="E90" s="192"/>
      <c r="F90" s="192"/>
      <c r="G90" s="192"/>
      <c r="H90" s="192"/>
      <c r="I90" s="193">
        <f t="shared" si="28"/>
        <v>0</v>
      </c>
      <c r="J90" s="193">
        <f t="shared" si="14"/>
        <v>0</v>
      </c>
      <c r="K90" s="193">
        <f t="shared" si="18"/>
        <v>0</v>
      </c>
      <c r="L90" s="193" t="e">
        <f t="shared" si="33"/>
        <v>#DIV/0!</v>
      </c>
      <c r="M90" s="193" t="e">
        <f t="shared" si="19"/>
        <v>#DIV/0!</v>
      </c>
      <c r="N90" s="193" t="e">
        <f t="shared" si="34"/>
        <v>#DIV/0!</v>
      </c>
      <c r="O90" s="193">
        <f t="shared" si="29"/>
        <v>0</v>
      </c>
      <c r="P90" s="193">
        <f t="shared" si="30"/>
        <v>0</v>
      </c>
      <c r="Q90" s="193" t="e">
        <f t="shared" si="20"/>
        <v>#DIV/0!</v>
      </c>
      <c r="R90" s="193">
        <f t="shared" si="35"/>
        <v>0</v>
      </c>
      <c r="T90" s="195" t="e">
        <f t="shared" si="21"/>
        <v>#DIV/0!</v>
      </c>
      <c r="U90" s="195" t="str">
        <f t="shared" si="31"/>
        <v>N/A</v>
      </c>
      <c r="V90" s="195" t="str">
        <f t="shared" si="32"/>
        <v>N/A</v>
      </c>
      <c r="X90" s="211">
        <f t="shared" si="36"/>
        <v>0</v>
      </c>
      <c r="Y90" s="211">
        <f t="shared" si="37"/>
        <v>0</v>
      </c>
      <c r="Z90" s="211">
        <f t="shared" si="38"/>
        <v>0</v>
      </c>
      <c r="AA90" s="211">
        <f t="shared" si="39"/>
        <v>0</v>
      </c>
      <c r="AB90" s="211">
        <f t="shared" si="40"/>
        <v>0</v>
      </c>
    </row>
    <row r="91" spans="1:28" x14ac:dyDescent="0.3">
      <c r="A91" s="167"/>
      <c r="B91" s="167"/>
      <c r="C91" s="192"/>
      <c r="D91" s="192"/>
      <c r="E91" s="192"/>
      <c r="F91" s="192"/>
      <c r="G91" s="192"/>
      <c r="H91" s="192"/>
      <c r="I91" s="193">
        <f t="shared" si="28"/>
        <v>0</v>
      </c>
      <c r="J91" s="193">
        <f t="shared" si="14"/>
        <v>0</v>
      </c>
      <c r="K91" s="193">
        <f t="shared" si="18"/>
        <v>0</v>
      </c>
      <c r="L91" s="193" t="e">
        <f t="shared" si="33"/>
        <v>#DIV/0!</v>
      </c>
      <c r="M91" s="193" t="e">
        <f t="shared" si="19"/>
        <v>#DIV/0!</v>
      </c>
      <c r="N91" s="193" t="e">
        <f t="shared" si="34"/>
        <v>#DIV/0!</v>
      </c>
      <c r="O91" s="193">
        <f t="shared" si="29"/>
        <v>0</v>
      </c>
      <c r="P91" s="193">
        <f t="shared" si="30"/>
        <v>0</v>
      </c>
      <c r="Q91" s="193" t="e">
        <f t="shared" si="20"/>
        <v>#DIV/0!</v>
      </c>
      <c r="R91" s="193">
        <f t="shared" si="35"/>
        <v>0</v>
      </c>
      <c r="T91" s="195" t="e">
        <f t="shared" si="21"/>
        <v>#DIV/0!</v>
      </c>
      <c r="U91" s="195" t="str">
        <f t="shared" si="31"/>
        <v>N/A</v>
      </c>
      <c r="V91" s="195" t="str">
        <f t="shared" si="32"/>
        <v>N/A</v>
      </c>
      <c r="X91" s="211">
        <f t="shared" si="36"/>
        <v>0</v>
      </c>
      <c r="Y91" s="211">
        <f t="shared" si="37"/>
        <v>0</v>
      </c>
      <c r="Z91" s="211">
        <f t="shared" si="38"/>
        <v>0</v>
      </c>
      <c r="AA91" s="211">
        <f t="shared" si="39"/>
        <v>0</v>
      </c>
      <c r="AB91" s="211">
        <f t="shared" si="40"/>
        <v>0</v>
      </c>
    </row>
    <row r="92" spans="1:28" x14ac:dyDescent="0.3">
      <c r="A92" s="167"/>
      <c r="B92" s="167"/>
      <c r="C92" s="192"/>
      <c r="D92" s="192"/>
      <c r="E92" s="192"/>
      <c r="F92" s="192"/>
      <c r="G92" s="192"/>
      <c r="H92" s="192"/>
      <c r="I92" s="193">
        <f t="shared" si="28"/>
        <v>0</v>
      </c>
      <c r="J92" s="193">
        <f t="shared" si="14"/>
        <v>0</v>
      </c>
      <c r="K92" s="193">
        <f t="shared" si="18"/>
        <v>0</v>
      </c>
      <c r="L92" s="193" t="e">
        <f t="shared" si="33"/>
        <v>#DIV/0!</v>
      </c>
      <c r="M92" s="193" t="e">
        <f t="shared" si="19"/>
        <v>#DIV/0!</v>
      </c>
      <c r="N92" s="193" t="e">
        <f t="shared" si="34"/>
        <v>#DIV/0!</v>
      </c>
      <c r="O92" s="193">
        <f t="shared" si="29"/>
        <v>0</v>
      </c>
      <c r="P92" s="193">
        <f t="shared" si="30"/>
        <v>0</v>
      </c>
      <c r="Q92" s="193" t="e">
        <f t="shared" si="20"/>
        <v>#DIV/0!</v>
      </c>
      <c r="R92" s="193">
        <f t="shared" si="35"/>
        <v>0</v>
      </c>
      <c r="T92" s="195" t="e">
        <f t="shared" si="21"/>
        <v>#DIV/0!</v>
      </c>
      <c r="U92" s="195" t="str">
        <f t="shared" si="31"/>
        <v>N/A</v>
      </c>
      <c r="V92" s="195" t="str">
        <f t="shared" si="32"/>
        <v>N/A</v>
      </c>
      <c r="X92" s="211">
        <f t="shared" si="36"/>
        <v>0</v>
      </c>
      <c r="Y92" s="211">
        <f t="shared" si="37"/>
        <v>0</v>
      </c>
      <c r="Z92" s="211">
        <f t="shared" si="38"/>
        <v>0</v>
      </c>
      <c r="AA92" s="211">
        <f t="shared" si="39"/>
        <v>0</v>
      </c>
      <c r="AB92" s="211">
        <f t="shared" si="40"/>
        <v>0</v>
      </c>
    </row>
    <row r="93" spans="1:28" x14ac:dyDescent="0.3">
      <c r="A93" s="167"/>
      <c r="B93" s="167"/>
      <c r="C93" s="192"/>
      <c r="D93" s="192"/>
      <c r="E93" s="192"/>
      <c r="F93" s="192"/>
      <c r="G93" s="192"/>
      <c r="H93" s="192"/>
      <c r="I93" s="193">
        <f t="shared" si="28"/>
        <v>0</v>
      </c>
      <c r="J93" s="193">
        <f t="shared" si="14"/>
        <v>0</v>
      </c>
      <c r="K93" s="193">
        <f t="shared" si="18"/>
        <v>0</v>
      </c>
      <c r="L93" s="193" t="e">
        <f t="shared" si="33"/>
        <v>#DIV/0!</v>
      </c>
      <c r="M93" s="193" t="e">
        <f t="shared" si="19"/>
        <v>#DIV/0!</v>
      </c>
      <c r="N93" s="193" t="e">
        <f t="shared" si="34"/>
        <v>#DIV/0!</v>
      </c>
      <c r="O93" s="193">
        <f t="shared" si="29"/>
        <v>0</v>
      </c>
      <c r="P93" s="193">
        <f t="shared" si="30"/>
        <v>0</v>
      </c>
      <c r="Q93" s="193" t="e">
        <f t="shared" si="20"/>
        <v>#DIV/0!</v>
      </c>
      <c r="R93" s="193">
        <f t="shared" si="35"/>
        <v>0</v>
      </c>
      <c r="T93" s="195" t="e">
        <f t="shared" si="21"/>
        <v>#DIV/0!</v>
      </c>
      <c r="U93" s="195" t="str">
        <f t="shared" si="31"/>
        <v>N/A</v>
      </c>
      <c r="V93" s="195" t="str">
        <f t="shared" si="32"/>
        <v>N/A</v>
      </c>
      <c r="X93" s="211">
        <f t="shared" si="36"/>
        <v>0</v>
      </c>
      <c r="Y93" s="211">
        <f t="shared" si="37"/>
        <v>0</v>
      </c>
      <c r="Z93" s="211">
        <f t="shared" si="38"/>
        <v>0</v>
      </c>
      <c r="AA93" s="211">
        <f t="shared" si="39"/>
        <v>0</v>
      </c>
      <c r="AB93" s="211">
        <f t="shared" si="40"/>
        <v>0</v>
      </c>
    </row>
    <row r="94" spans="1:28" x14ac:dyDescent="0.3">
      <c r="A94" s="167"/>
      <c r="B94" s="167"/>
      <c r="C94" s="192"/>
      <c r="D94" s="192"/>
      <c r="E94" s="192"/>
      <c r="F94" s="192"/>
      <c r="G94" s="192"/>
      <c r="H94" s="192"/>
      <c r="I94" s="193">
        <f t="shared" si="28"/>
        <v>0</v>
      </c>
      <c r="J94" s="193">
        <f t="shared" si="14"/>
        <v>0</v>
      </c>
      <c r="K94" s="193">
        <f t="shared" si="18"/>
        <v>0</v>
      </c>
      <c r="L94" s="193" t="e">
        <f t="shared" si="33"/>
        <v>#DIV/0!</v>
      </c>
      <c r="M94" s="193" t="e">
        <f t="shared" si="19"/>
        <v>#DIV/0!</v>
      </c>
      <c r="N94" s="193" t="e">
        <f t="shared" si="34"/>
        <v>#DIV/0!</v>
      </c>
      <c r="O94" s="193">
        <f t="shared" si="29"/>
        <v>0</v>
      </c>
      <c r="P94" s="193">
        <f t="shared" si="30"/>
        <v>0</v>
      </c>
      <c r="Q94" s="193" t="e">
        <f t="shared" si="20"/>
        <v>#DIV/0!</v>
      </c>
      <c r="R94" s="193">
        <f t="shared" si="35"/>
        <v>0</v>
      </c>
      <c r="T94" s="195" t="e">
        <f t="shared" si="21"/>
        <v>#DIV/0!</v>
      </c>
      <c r="U94" s="195" t="str">
        <f t="shared" si="31"/>
        <v>N/A</v>
      </c>
      <c r="V94" s="195" t="str">
        <f t="shared" si="32"/>
        <v>N/A</v>
      </c>
      <c r="X94" s="211">
        <f t="shared" si="36"/>
        <v>0</v>
      </c>
      <c r="Y94" s="211">
        <f t="shared" si="37"/>
        <v>0</v>
      </c>
      <c r="Z94" s="211">
        <f t="shared" si="38"/>
        <v>0</v>
      </c>
      <c r="AA94" s="211">
        <f t="shared" si="39"/>
        <v>0</v>
      </c>
      <c r="AB94" s="211">
        <f t="shared" si="40"/>
        <v>0</v>
      </c>
    </row>
    <row r="95" spans="1:28" x14ac:dyDescent="0.3">
      <c r="A95" s="167"/>
      <c r="B95" s="167"/>
      <c r="C95" s="192"/>
      <c r="D95" s="192"/>
      <c r="E95" s="192"/>
      <c r="F95" s="192"/>
      <c r="G95" s="192"/>
      <c r="H95" s="192"/>
      <c r="I95" s="193">
        <f t="shared" si="28"/>
        <v>0</v>
      </c>
      <c r="J95" s="193">
        <f t="shared" si="14"/>
        <v>0</v>
      </c>
      <c r="K95" s="193">
        <f t="shared" si="18"/>
        <v>0</v>
      </c>
      <c r="L95" s="193" t="e">
        <f t="shared" si="33"/>
        <v>#DIV/0!</v>
      </c>
      <c r="M95" s="193" t="e">
        <f t="shared" si="19"/>
        <v>#DIV/0!</v>
      </c>
      <c r="N95" s="193" t="e">
        <f t="shared" si="34"/>
        <v>#DIV/0!</v>
      </c>
      <c r="O95" s="193">
        <f t="shared" si="29"/>
        <v>0</v>
      </c>
      <c r="P95" s="193">
        <f t="shared" si="30"/>
        <v>0</v>
      </c>
      <c r="Q95" s="193" t="e">
        <f t="shared" si="20"/>
        <v>#DIV/0!</v>
      </c>
      <c r="R95" s="193">
        <f t="shared" si="35"/>
        <v>0</v>
      </c>
      <c r="T95" s="195" t="e">
        <f t="shared" si="21"/>
        <v>#DIV/0!</v>
      </c>
      <c r="U95" s="195" t="str">
        <f t="shared" si="31"/>
        <v>N/A</v>
      </c>
      <c r="V95" s="195" t="str">
        <f t="shared" si="32"/>
        <v>N/A</v>
      </c>
      <c r="X95" s="211">
        <f t="shared" si="36"/>
        <v>0</v>
      </c>
      <c r="Y95" s="211">
        <f t="shared" si="37"/>
        <v>0</v>
      </c>
      <c r="Z95" s="211">
        <f t="shared" si="38"/>
        <v>0</v>
      </c>
      <c r="AA95" s="211">
        <f t="shared" si="39"/>
        <v>0</v>
      </c>
      <c r="AB95" s="211">
        <f t="shared" si="40"/>
        <v>0</v>
      </c>
    </row>
    <row r="96" spans="1:28" x14ac:dyDescent="0.3">
      <c r="A96" s="167"/>
      <c r="B96" s="167"/>
      <c r="C96" s="192"/>
      <c r="D96" s="192"/>
      <c r="E96" s="192"/>
      <c r="F96" s="192"/>
      <c r="G96" s="192"/>
      <c r="H96" s="192"/>
      <c r="I96" s="193">
        <f t="shared" si="28"/>
        <v>0</v>
      </c>
      <c r="J96" s="193">
        <f t="shared" si="14"/>
        <v>0</v>
      </c>
      <c r="K96" s="193">
        <f t="shared" si="18"/>
        <v>0</v>
      </c>
      <c r="L96" s="193" t="e">
        <f t="shared" si="33"/>
        <v>#DIV/0!</v>
      </c>
      <c r="M96" s="193" t="e">
        <f t="shared" si="19"/>
        <v>#DIV/0!</v>
      </c>
      <c r="N96" s="193" t="e">
        <f t="shared" si="34"/>
        <v>#DIV/0!</v>
      </c>
      <c r="O96" s="193">
        <f t="shared" si="29"/>
        <v>0</v>
      </c>
      <c r="P96" s="193">
        <f t="shared" si="30"/>
        <v>0</v>
      </c>
      <c r="Q96" s="193" t="e">
        <f t="shared" si="20"/>
        <v>#DIV/0!</v>
      </c>
      <c r="R96" s="193">
        <f t="shared" si="35"/>
        <v>0</v>
      </c>
      <c r="T96" s="195" t="e">
        <f t="shared" si="21"/>
        <v>#DIV/0!</v>
      </c>
      <c r="U96" s="195" t="str">
        <f t="shared" si="31"/>
        <v>N/A</v>
      </c>
      <c r="V96" s="195" t="str">
        <f t="shared" si="32"/>
        <v>N/A</v>
      </c>
      <c r="X96" s="211">
        <f t="shared" si="36"/>
        <v>0</v>
      </c>
      <c r="Y96" s="211">
        <f t="shared" si="37"/>
        <v>0</v>
      </c>
      <c r="Z96" s="211">
        <f t="shared" si="38"/>
        <v>0</v>
      </c>
      <c r="AA96" s="211">
        <f t="shared" si="39"/>
        <v>0</v>
      </c>
      <c r="AB96" s="211">
        <f t="shared" si="40"/>
        <v>0</v>
      </c>
    </row>
    <row r="97" spans="1:28" x14ac:dyDescent="0.3">
      <c r="A97" s="167"/>
      <c r="B97" s="167"/>
      <c r="C97" s="192"/>
      <c r="D97" s="192"/>
      <c r="E97" s="192"/>
      <c r="F97" s="192"/>
      <c r="G97" s="192"/>
      <c r="H97" s="192"/>
      <c r="I97" s="193">
        <f t="shared" si="28"/>
        <v>0</v>
      </c>
      <c r="J97" s="193">
        <f t="shared" si="14"/>
        <v>0</v>
      </c>
      <c r="K97" s="193">
        <f t="shared" si="18"/>
        <v>0</v>
      </c>
      <c r="L97" s="193" t="e">
        <f t="shared" si="33"/>
        <v>#DIV/0!</v>
      </c>
      <c r="M97" s="193" t="e">
        <f t="shared" si="19"/>
        <v>#DIV/0!</v>
      </c>
      <c r="N97" s="193" t="e">
        <f t="shared" si="34"/>
        <v>#DIV/0!</v>
      </c>
      <c r="O97" s="193">
        <f t="shared" si="29"/>
        <v>0</v>
      </c>
      <c r="P97" s="193">
        <f t="shared" si="30"/>
        <v>0</v>
      </c>
      <c r="Q97" s="193" t="e">
        <f t="shared" si="20"/>
        <v>#DIV/0!</v>
      </c>
      <c r="R97" s="193">
        <f t="shared" si="35"/>
        <v>0</v>
      </c>
      <c r="T97" s="195" t="e">
        <f t="shared" si="21"/>
        <v>#DIV/0!</v>
      </c>
      <c r="U97" s="195" t="str">
        <f t="shared" si="31"/>
        <v>N/A</v>
      </c>
      <c r="V97" s="195" t="str">
        <f t="shared" si="32"/>
        <v>N/A</v>
      </c>
      <c r="X97" s="211">
        <f t="shared" si="36"/>
        <v>0</v>
      </c>
      <c r="Y97" s="211">
        <f t="shared" si="37"/>
        <v>0</v>
      </c>
      <c r="Z97" s="211">
        <f t="shared" si="38"/>
        <v>0</v>
      </c>
      <c r="AA97" s="211">
        <f t="shared" si="39"/>
        <v>0</v>
      </c>
      <c r="AB97" s="211">
        <f t="shared" si="40"/>
        <v>0</v>
      </c>
    </row>
    <row r="98" spans="1:28" x14ac:dyDescent="0.3">
      <c r="A98" s="167"/>
      <c r="B98" s="167"/>
      <c r="C98" s="192"/>
      <c r="D98" s="192"/>
      <c r="E98" s="192"/>
      <c r="F98" s="192"/>
      <c r="G98" s="192"/>
      <c r="H98" s="192"/>
      <c r="I98" s="193">
        <f t="shared" si="28"/>
        <v>0</v>
      </c>
      <c r="J98" s="193">
        <f t="shared" si="14"/>
        <v>0</v>
      </c>
      <c r="K98" s="193">
        <f t="shared" si="18"/>
        <v>0</v>
      </c>
      <c r="L98" s="193" t="e">
        <f t="shared" si="33"/>
        <v>#DIV/0!</v>
      </c>
      <c r="M98" s="193" t="e">
        <f t="shared" si="19"/>
        <v>#DIV/0!</v>
      </c>
      <c r="N98" s="193" t="e">
        <f t="shared" si="34"/>
        <v>#DIV/0!</v>
      </c>
      <c r="O98" s="193">
        <f t="shared" si="29"/>
        <v>0</v>
      </c>
      <c r="P98" s="193">
        <f t="shared" si="30"/>
        <v>0</v>
      </c>
      <c r="Q98" s="193" t="e">
        <f t="shared" si="20"/>
        <v>#DIV/0!</v>
      </c>
      <c r="R98" s="193">
        <f t="shared" si="35"/>
        <v>0</v>
      </c>
      <c r="T98" s="195" t="e">
        <f t="shared" si="21"/>
        <v>#DIV/0!</v>
      </c>
      <c r="U98" s="195" t="str">
        <f t="shared" si="31"/>
        <v>N/A</v>
      </c>
      <c r="V98" s="195" t="str">
        <f t="shared" si="32"/>
        <v>N/A</v>
      </c>
      <c r="X98" s="211">
        <f t="shared" si="36"/>
        <v>0</v>
      </c>
      <c r="Y98" s="211">
        <f t="shared" si="37"/>
        <v>0</v>
      </c>
      <c r="Z98" s="211">
        <f t="shared" si="38"/>
        <v>0</v>
      </c>
      <c r="AA98" s="211">
        <f t="shared" si="39"/>
        <v>0</v>
      </c>
      <c r="AB98" s="211">
        <f t="shared" si="40"/>
        <v>0</v>
      </c>
    </row>
    <row r="99" spans="1:28" x14ac:dyDescent="0.3">
      <c r="A99" s="167"/>
      <c r="B99" s="167"/>
      <c r="C99" s="192"/>
      <c r="D99" s="192"/>
      <c r="E99" s="192"/>
      <c r="F99" s="192"/>
      <c r="G99" s="192"/>
      <c r="H99" s="192"/>
      <c r="I99" s="193">
        <f t="shared" si="28"/>
        <v>0</v>
      </c>
      <c r="J99" s="193">
        <f t="shared" si="14"/>
        <v>0</v>
      </c>
      <c r="K99" s="193">
        <f t="shared" si="18"/>
        <v>0</v>
      </c>
      <c r="L99" s="193" t="e">
        <f t="shared" si="33"/>
        <v>#DIV/0!</v>
      </c>
      <c r="M99" s="193" t="e">
        <f t="shared" si="19"/>
        <v>#DIV/0!</v>
      </c>
      <c r="N99" s="193" t="e">
        <f t="shared" si="34"/>
        <v>#DIV/0!</v>
      </c>
      <c r="O99" s="193">
        <f t="shared" si="29"/>
        <v>0</v>
      </c>
      <c r="P99" s="193">
        <f t="shared" si="30"/>
        <v>0</v>
      </c>
      <c r="Q99" s="193" t="e">
        <f t="shared" si="20"/>
        <v>#DIV/0!</v>
      </c>
      <c r="R99" s="193">
        <f t="shared" si="35"/>
        <v>0</v>
      </c>
      <c r="T99" s="195" t="e">
        <f t="shared" si="21"/>
        <v>#DIV/0!</v>
      </c>
      <c r="U99" s="195" t="str">
        <f t="shared" si="31"/>
        <v>N/A</v>
      </c>
      <c r="V99" s="195" t="str">
        <f t="shared" si="32"/>
        <v>N/A</v>
      </c>
      <c r="X99" s="211">
        <f t="shared" si="36"/>
        <v>0</v>
      </c>
      <c r="Y99" s="211">
        <f t="shared" si="37"/>
        <v>0</v>
      </c>
      <c r="Z99" s="211">
        <f t="shared" si="38"/>
        <v>0</v>
      </c>
      <c r="AA99" s="211">
        <f t="shared" si="39"/>
        <v>0</v>
      </c>
      <c r="AB99" s="211">
        <f t="shared" si="40"/>
        <v>0</v>
      </c>
    </row>
    <row r="100" spans="1:28" x14ac:dyDescent="0.3">
      <c r="A100" s="167"/>
      <c r="B100" s="167"/>
      <c r="C100" s="192"/>
      <c r="D100" s="192"/>
      <c r="E100" s="192"/>
      <c r="F100" s="192"/>
      <c r="G100" s="192"/>
      <c r="H100" s="192"/>
      <c r="I100" s="193">
        <f t="shared" si="28"/>
        <v>0</v>
      </c>
      <c r="J100" s="193">
        <f t="shared" si="14"/>
        <v>0</v>
      </c>
      <c r="K100" s="193">
        <f t="shared" si="18"/>
        <v>0</v>
      </c>
      <c r="L100" s="193" t="e">
        <f t="shared" si="33"/>
        <v>#DIV/0!</v>
      </c>
      <c r="M100" s="193" t="e">
        <f t="shared" si="19"/>
        <v>#DIV/0!</v>
      </c>
      <c r="N100" s="193" t="e">
        <f t="shared" si="34"/>
        <v>#DIV/0!</v>
      </c>
      <c r="O100" s="193">
        <f t="shared" si="29"/>
        <v>0</v>
      </c>
      <c r="P100" s="193">
        <f t="shared" si="30"/>
        <v>0</v>
      </c>
      <c r="Q100" s="193" t="e">
        <f t="shared" si="20"/>
        <v>#DIV/0!</v>
      </c>
      <c r="R100" s="193">
        <f t="shared" si="35"/>
        <v>0</v>
      </c>
      <c r="T100" s="195" t="e">
        <f t="shared" si="21"/>
        <v>#DIV/0!</v>
      </c>
      <c r="U100" s="195" t="str">
        <f t="shared" si="31"/>
        <v>N/A</v>
      </c>
      <c r="V100" s="195" t="str">
        <f t="shared" si="32"/>
        <v>N/A</v>
      </c>
      <c r="X100" s="211">
        <f t="shared" si="36"/>
        <v>0</v>
      </c>
      <c r="Y100" s="211">
        <f t="shared" si="37"/>
        <v>0</v>
      </c>
      <c r="Z100" s="211">
        <f t="shared" si="38"/>
        <v>0</v>
      </c>
      <c r="AA100" s="211">
        <f t="shared" si="39"/>
        <v>0</v>
      </c>
      <c r="AB100" s="211">
        <f t="shared" si="40"/>
        <v>0</v>
      </c>
    </row>
    <row r="101" spans="1:28" x14ac:dyDescent="0.3">
      <c r="A101" s="167"/>
      <c r="B101" s="167"/>
      <c r="C101" s="192"/>
      <c r="D101" s="192"/>
      <c r="E101" s="192"/>
      <c r="F101" s="192"/>
      <c r="G101" s="192"/>
      <c r="H101" s="192"/>
      <c r="I101" s="193">
        <f t="shared" si="28"/>
        <v>0</v>
      </c>
      <c r="J101" s="193">
        <f t="shared" si="14"/>
        <v>0</v>
      </c>
      <c r="K101" s="193">
        <f t="shared" si="18"/>
        <v>0</v>
      </c>
      <c r="L101" s="193" t="e">
        <f t="shared" si="33"/>
        <v>#DIV/0!</v>
      </c>
      <c r="M101" s="193" t="e">
        <f t="shared" si="19"/>
        <v>#DIV/0!</v>
      </c>
      <c r="N101" s="193" t="e">
        <f t="shared" si="34"/>
        <v>#DIV/0!</v>
      </c>
      <c r="O101" s="193">
        <f t="shared" si="29"/>
        <v>0</v>
      </c>
      <c r="P101" s="193">
        <f t="shared" si="30"/>
        <v>0</v>
      </c>
      <c r="Q101" s="193" t="e">
        <f t="shared" si="20"/>
        <v>#DIV/0!</v>
      </c>
      <c r="R101" s="193">
        <f t="shared" si="35"/>
        <v>0</v>
      </c>
      <c r="T101" s="195" t="e">
        <f t="shared" si="21"/>
        <v>#DIV/0!</v>
      </c>
      <c r="U101" s="195" t="str">
        <f t="shared" si="31"/>
        <v>N/A</v>
      </c>
      <c r="V101" s="195" t="str">
        <f t="shared" si="32"/>
        <v>N/A</v>
      </c>
      <c r="X101" s="211">
        <f t="shared" si="36"/>
        <v>0</v>
      </c>
      <c r="Y101" s="211">
        <f t="shared" si="37"/>
        <v>0</v>
      </c>
      <c r="Z101" s="211">
        <f t="shared" si="38"/>
        <v>0</v>
      </c>
      <c r="AA101" s="211">
        <f t="shared" si="39"/>
        <v>0</v>
      </c>
      <c r="AB101" s="211">
        <f t="shared" si="40"/>
        <v>0</v>
      </c>
    </row>
    <row r="102" spans="1:28" x14ac:dyDescent="0.3">
      <c r="A102" s="167"/>
      <c r="B102" s="167"/>
      <c r="C102" s="192"/>
      <c r="D102" s="192"/>
      <c r="E102" s="192"/>
      <c r="F102" s="192"/>
      <c r="G102" s="192"/>
      <c r="H102" s="192"/>
      <c r="I102" s="193">
        <f t="shared" si="28"/>
        <v>0</v>
      </c>
      <c r="J102" s="193">
        <f t="shared" si="14"/>
        <v>0</v>
      </c>
      <c r="K102" s="193">
        <f t="shared" si="18"/>
        <v>0</v>
      </c>
      <c r="L102" s="193" t="e">
        <f t="shared" si="33"/>
        <v>#DIV/0!</v>
      </c>
      <c r="M102" s="193" t="e">
        <f t="shared" si="19"/>
        <v>#DIV/0!</v>
      </c>
      <c r="N102" s="193" t="e">
        <f t="shared" si="34"/>
        <v>#DIV/0!</v>
      </c>
      <c r="O102" s="193">
        <f t="shared" si="29"/>
        <v>0</v>
      </c>
      <c r="P102" s="193">
        <f t="shared" si="30"/>
        <v>0</v>
      </c>
      <c r="Q102" s="193" t="e">
        <f t="shared" si="20"/>
        <v>#DIV/0!</v>
      </c>
      <c r="R102" s="193">
        <f t="shared" si="35"/>
        <v>0</v>
      </c>
      <c r="T102" s="195" t="e">
        <f t="shared" si="21"/>
        <v>#DIV/0!</v>
      </c>
      <c r="U102" s="195" t="str">
        <f t="shared" si="31"/>
        <v>N/A</v>
      </c>
      <c r="V102" s="195" t="str">
        <f t="shared" si="32"/>
        <v>N/A</v>
      </c>
      <c r="X102" s="211">
        <f t="shared" si="36"/>
        <v>0</v>
      </c>
      <c r="Y102" s="211">
        <f t="shared" si="37"/>
        <v>0</v>
      </c>
      <c r="Z102" s="211">
        <f t="shared" si="38"/>
        <v>0</v>
      </c>
      <c r="AA102" s="211">
        <f t="shared" si="39"/>
        <v>0</v>
      </c>
      <c r="AB102" s="211">
        <f t="shared" si="40"/>
        <v>0</v>
      </c>
    </row>
    <row r="103" spans="1:28" x14ac:dyDescent="0.3">
      <c r="A103" s="167"/>
      <c r="B103" s="167"/>
      <c r="C103" s="192"/>
      <c r="D103" s="192"/>
      <c r="E103" s="192"/>
      <c r="F103" s="192"/>
      <c r="G103" s="192"/>
      <c r="H103" s="192"/>
      <c r="I103" s="193">
        <f t="shared" si="28"/>
        <v>0</v>
      </c>
      <c r="J103" s="193">
        <f t="shared" si="14"/>
        <v>0</v>
      </c>
      <c r="K103" s="193">
        <f t="shared" si="18"/>
        <v>0</v>
      </c>
      <c r="L103" s="193" t="e">
        <f t="shared" si="33"/>
        <v>#DIV/0!</v>
      </c>
      <c r="M103" s="193" t="e">
        <f t="shared" si="19"/>
        <v>#DIV/0!</v>
      </c>
      <c r="N103" s="193" t="e">
        <f t="shared" si="34"/>
        <v>#DIV/0!</v>
      </c>
      <c r="O103" s="193">
        <f t="shared" si="29"/>
        <v>0</v>
      </c>
      <c r="P103" s="193">
        <f t="shared" si="30"/>
        <v>0</v>
      </c>
      <c r="Q103" s="193" t="e">
        <f t="shared" si="20"/>
        <v>#DIV/0!</v>
      </c>
      <c r="R103" s="193">
        <f t="shared" si="35"/>
        <v>0</v>
      </c>
      <c r="T103" s="195" t="e">
        <f t="shared" si="21"/>
        <v>#DIV/0!</v>
      </c>
      <c r="U103" s="195" t="str">
        <f t="shared" si="31"/>
        <v>N/A</v>
      </c>
      <c r="V103" s="195" t="str">
        <f t="shared" si="32"/>
        <v>N/A</v>
      </c>
      <c r="X103" s="211">
        <f t="shared" si="36"/>
        <v>0</v>
      </c>
      <c r="Y103" s="211">
        <f t="shared" si="37"/>
        <v>0</v>
      </c>
      <c r="Z103" s="211">
        <f t="shared" si="38"/>
        <v>0</v>
      </c>
      <c r="AA103" s="211">
        <f t="shared" si="39"/>
        <v>0</v>
      </c>
      <c r="AB103" s="211">
        <f t="shared" si="40"/>
        <v>0</v>
      </c>
    </row>
    <row r="104" spans="1:28" x14ac:dyDescent="0.3">
      <c r="A104" s="167"/>
      <c r="B104" s="167"/>
      <c r="C104" s="192"/>
      <c r="D104" s="192"/>
      <c r="E104" s="192"/>
      <c r="F104" s="192"/>
      <c r="G104" s="192"/>
      <c r="H104" s="192"/>
      <c r="I104" s="193">
        <f t="shared" si="28"/>
        <v>0</v>
      </c>
      <c r="J104" s="193">
        <f t="shared" si="14"/>
        <v>0</v>
      </c>
      <c r="K104" s="193">
        <f t="shared" si="18"/>
        <v>0</v>
      </c>
      <c r="L104" s="193" t="e">
        <f t="shared" si="33"/>
        <v>#DIV/0!</v>
      </c>
      <c r="M104" s="193" t="e">
        <f t="shared" si="19"/>
        <v>#DIV/0!</v>
      </c>
      <c r="N104" s="193" t="e">
        <f t="shared" si="34"/>
        <v>#DIV/0!</v>
      </c>
      <c r="O104" s="193">
        <f t="shared" si="29"/>
        <v>0</v>
      </c>
      <c r="P104" s="193">
        <f t="shared" si="30"/>
        <v>0</v>
      </c>
      <c r="Q104" s="193" t="e">
        <f t="shared" si="20"/>
        <v>#DIV/0!</v>
      </c>
      <c r="R104" s="193">
        <f t="shared" si="35"/>
        <v>0</v>
      </c>
      <c r="T104" s="195" t="e">
        <f t="shared" si="21"/>
        <v>#DIV/0!</v>
      </c>
      <c r="U104" s="195" t="str">
        <f t="shared" si="31"/>
        <v>N/A</v>
      </c>
      <c r="V104" s="195" t="str">
        <f t="shared" si="32"/>
        <v>N/A</v>
      </c>
      <c r="X104" s="211">
        <f t="shared" si="36"/>
        <v>0</v>
      </c>
      <c r="Y104" s="211">
        <f t="shared" si="37"/>
        <v>0</v>
      </c>
      <c r="Z104" s="211">
        <f t="shared" si="38"/>
        <v>0</v>
      </c>
      <c r="AA104" s="211">
        <f t="shared" si="39"/>
        <v>0</v>
      </c>
      <c r="AB104" s="211">
        <f t="shared" si="40"/>
        <v>0</v>
      </c>
    </row>
    <row r="105" spans="1:28" x14ac:dyDescent="0.3">
      <c r="A105" s="167"/>
      <c r="B105" s="167"/>
      <c r="C105" s="192"/>
      <c r="D105" s="192"/>
      <c r="E105" s="192"/>
      <c r="F105" s="192"/>
      <c r="G105" s="192"/>
      <c r="H105" s="192"/>
      <c r="I105" s="193">
        <f t="shared" si="28"/>
        <v>0</v>
      </c>
      <c r="J105" s="193">
        <f t="shared" si="14"/>
        <v>0</v>
      </c>
      <c r="K105" s="193">
        <f t="shared" si="18"/>
        <v>0</v>
      </c>
      <c r="L105" s="193" t="e">
        <f t="shared" si="33"/>
        <v>#DIV/0!</v>
      </c>
      <c r="M105" s="193" t="e">
        <f t="shared" si="19"/>
        <v>#DIV/0!</v>
      </c>
      <c r="N105" s="193" t="e">
        <f t="shared" si="34"/>
        <v>#DIV/0!</v>
      </c>
      <c r="O105" s="193">
        <f t="shared" si="29"/>
        <v>0</v>
      </c>
      <c r="P105" s="193">
        <f t="shared" si="30"/>
        <v>0</v>
      </c>
      <c r="Q105" s="193" t="e">
        <f t="shared" si="20"/>
        <v>#DIV/0!</v>
      </c>
      <c r="R105" s="193">
        <f t="shared" si="35"/>
        <v>0</v>
      </c>
      <c r="T105" s="195" t="e">
        <f t="shared" si="21"/>
        <v>#DIV/0!</v>
      </c>
      <c r="U105" s="195" t="str">
        <f t="shared" si="31"/>
        <v>N/A</v>
      </c>
      <c r="V105" s="195" t="str">
        <f t="shared" si="32"/>
        <v>N/A</v>
      </c>
      <c r="X105" s="211">
        <f t="shared" si="36"/>
        <v>0</v>
      </c>
      <c r="Y105" s="211">
        <f t="shared" si="37"/>
        <v>0</v>
      </c>
      <c r="Z105" s="211">
        <f t="shared" si="38"/>
        <v>0</v>
      </c>
      <c r="AA105" s="211">
        <f t="shared" si="39"/>
        <v>0</v>
      </c>
      <c r="AB105" s="211">
        <f t="shared" si="40"/>
        <v>0</v>
      </c>
    </row>
    <row r="106" spans="1:28" x14ac:dyDescent="0.3">
      <c r="A106" s="167"/>
      <c r="B106" s="167"/>
      <c r="C106" s="192"/>
      <c r="D106" s="192"/>
      <c r="E106" s="192"/>
      <c r="F106" s="192"/>
      <c r="G106" s="192"/>
      <c r="H106" s="192"/>
      <c r="I106" s="193">
        <f t="shared" si="28"/>
        <v>0</v>
      </c>
      <c r="J106" s="193">
        <f t="shared" si="14"/>
        <v>0</v>
      </c>
      <c r="K106" s="193">
        <f t="shared" si="18"/>
        <v>0</v>
      </c>
      <c r="L106" s="193" t="e">
        <f t="shared" si="33"/>
        <v>#DIV/0!</v>
      </c>
      <c r="M106" s="193" t="e">
        <f t="shared" si="19"/>
        <v>#DIV/0!</v>
      </c>
      <c r="N106" s="193" t="e">
        <f t="shared" si="34"/>
        <v>#DIV/0!</v>
      </c>
      <c r="O106" s="193">
        <f t="shared" si="29"/>
        <v>0</v>
      </c>
      <c r="P106" s="193">
        <f t="shared" si="30"/>
        <v>0</v>
      </c>
      <c r="Q106" s="193" t="e">
        <f t="shared" si="20"/>
        <v>#DIV/0!</v>
      </c>
      <c r="R106" s="193">
        <f t="shared" si="35"/>
        <v>0</v>
      </c>
      <c r="T106" s="195" t="e">
        <f t="shared" si="21"/>
        <v>#DIV/0!</v>
      </c>
      <c r="U106" s="195" t="str">
        <f t="shared" si="31"/>
        <v>N/A</v>
      </c>
      <c r="V106" s="195" t="str">
        <f t="shared" si="32"/>
        <v>N/A</v>
      </c>
      <c r="X106" s="211">
        <f t="shared" si="36"/>
        <v>0</v>
      </c>
      <c r="Y106" s="211">
        <f t="shared" si="37"/>
        <v>0</v>
      </c>
      <c r="Z106" s="211">
        <f t="shared" si="38"/>
        <v>0</v>
      </c>
      <c r="AA106" s="211">
        <f t="shared" si="39"/>
        <v>0</v>
      </c>
      <c r="AB106" s="211">
        <f t="shared" si="40"/>
        <v>0</v>
      </c>
    </row>
    <row r="107" spans="1:28" x14ac:dyDescent="0.3">
      <c r="A107" s="167"/>
      <c r="B107" s="167"/>
      <c r="C107" s="192"/>
      <c r="D107" s="192"/>
      <c r="E107" s="192"/>
      <c r="F107" s="192"/>
      <c r="G107" s="192"/>
      <c r="H107" s="192"/>
      <c r="I107" s="193">
        <f t="shared" si="28"/>
        <v>0</v>
      </c>
      <c r="J107" s="193">
        <f t="shared" si="14"/>
        <v>0</v>
      </c>
      <c r="K107" s="193">
        <f t="shared" ref="K107:K113" si="41">IF(I107&lt;0,I107,0)</f>
        <v>0</v>
      </c>
      <c r="L107" s="193" t="e">
        <f t="shared" si="33"/>
        <v>#DIV/0!</v>
      </c>
      <c r="M107" s="193" t="e">
        <f t="shared" ref="M107:M113" si="42">I107+L107</f>
        <v>#DIV/0!</v>
      </c>
      <c r="N107" s="193" t="e">
        <f t="shared" si="34"/>
        <v>#DIV/0!</v>
      </c>
      <c r="O107" s="193">
        <f t="shared" si="29"/>
        <v>0</v>
      </c>
      <c r="P107" s="193">
        <f t="shared" si="30"/>
        <v>0</v>
      </c>
      <c r="Q107" s="193" t="e">
        <f t="shared" ref="Q107:Q113" si="43">IF(M107&lt;0,0,0.2*M107)</f>
        <v>#DIV/0!</v>
      </c>
      <c r="R107" s="193">
        <f t="shared" si="35"/>
        <v>0</v>
      </c>
      <c r="T107" s="195" t="e">
        <f t="shared" ref="T107:T113" si="44">IF($B$6="NO",Q107, "N/A")</f>
        <v>#DIV/0!</v>
      </c>
      <c r="U107" s="195" t="str">
        <f t="shared" si="31"/>
        <v>N/A</v>
      </c>
      <c r="V107" s="195" t="str">
        <f t="shared" si="32"/>
        <v>N/A</v>
      </c>
      <c r="X107" s="211">
        <f t="shared" si="36"/>
        <v>0</v>
      </c>
      <c r="Y107" s="211">
        <f t="shared" si="37"/>
        <v>0</v>
      </c>
      <c r="Z107" s="211">
        <f t="shared" si="38"/>
        <v>0</v>
      </c>
      <c r="AA107" s="211">
        <f t="shared" si="39"/>
        <v>0</v>
      </c>
      <c r="AB107" s="211">
        <f t="shared" si="40"/>
        <v>0</v>
      </c>
    </row>
    <row r="108" spans="1:28" x14ac:dyDescent="0.3">
      <c r="A108" s="167"/>
      <c r="B108" s="167"/>
      <c r="C108" s="192"/>
      <c r="D108" s="192"/>
      <c r="E108" s="192"/>
      <c r="F108" s="192"/>
      <c r="G108" s="192"/>
      <c r="H108" s="192"/>
      <c r="I108" s="193">
        <f t="shared" si="28"/>
        <v>0</v>
      </c>
      <c r="J108" s="193">
        <f t="shared" si="14"/>
        <v>0</v>
      </c>
      <c r="K108" s="193">
        <f t="shared" si="41"/>
        <v>0</v>
      </c>
      <c r="L108" s="193" t="e">
        <f t="shared" si="33"/>
        <v>#DIV/0!</v>
      </c>
      <c r="M108" s="193" t="e">
        <f t="shared" si="42"/>
        <v>#DIV/0!</v>
      </c>
      <c r="N108" s="193" t="e">
        <f t="shared" si="34"/>
        <v>#DIV/0!</v>
      </c>
      <c r="O108" s="193">
        <f t="shared" si="29"/>
        <v>0</v>
      </c>
      <c r="P108" s="193">
        <f t="shared" si="30"/>
        <v>0</v>
      </c>
      <c r="Q108" s="193" t="e">
        <f t="shared" si="43"/>
        <v>#DIV/0!</v>
      </c>
      <c r="R108" s="193">
        <f t="shared" si="35"/>
        <v>0</v>
      </c>
      <c r="T108" s="195" t="e">
        <f t="shared" si="44"/>
        <v>#DIV/0!</v>
      </c>
      <c r="U108" s="195" t="str">
        <f t="shared" si="31"/>
        <v>N/A</v>
      </c>
      <c r="V108" s="195" t="str">
        <f t="shared" si="32"/>
        <v>N/A</v>
      </c>
      <c r="X108" s="211">
        <f t="shared" si="36"/>
        <v>0</v>
      </c>
      <c r="Y108" s="211">
        <f t="shared" si="37"/>
        <v>0</v>
      </c>
      <c r="Z108" s="211">
        <f t="shared" si="38"/>
        <v>0</v>
      </c>
      <c r="AA108" s="211">
        <f t="shared" si="39"/>
        <v>0</v>
      </c>
      <c r="AB108" s="211">
        <f t="shared" si="40"/>
        <v>0</v>
      </c>
    </row>
    <row r="109" spans="1:28" x14ac:dyDescent="0.3">
      <c r="A109" s="167"/>
      <c r="B109" s="167"/>
      <c r="C109" s="192"/>
      <c r="D109" s="192"/>
      <c r="E109" s="192"/>
      <c r="F109" s="192"/>
      <c r="G109" s="192"/>
      <c r="H109" s="192"/>
      <c r="I109" s="193">
        <f t="shared" si="28"/>
        <v>0</v>
      </c>
      <c r="J109" s="193">
        <f t="shared" si="14"/>
        <v>0</v>
      </c>
      <c r="K109" s="193">
        <f t="shared" si="41"/>
        <v>0</v>
      </c>
      <c r="L109" s="193" t="e">
        <f t="shared" si="33"/>
        <v>#DIV/0!</v>
      </c>
      <c r="M109" s="193" t="e">
        <f t="shared" si="42"/>
        <v>#DIV/0!</v>
      </c>
      <c r="N109" s="193" t="e">
        <f t="shared" si="34"/>
        <v>#DIV/0!</v>
      </c>
      <c r="O109" s="193">
        <f t="shared" si="29"/>
        <v>0</v>
      </c>
      <c r="P109" s="193">
        <f t="shared" si="30"/>
        <v>0</v>
      </c>
      <c r="Q109" s="193" t="e">
        <f t="shared" si="43"/>
        <v>#DIV/0!</v>
      </c>
      <c r="R109" s="193">
        <f t="shared" si="35"/>
        <v>0</v>
      </c>
      <c r="T109" s="195" t="e">
        <f t="shared" si="44"/>
        <v>#DIV/0!</v>
      </c>
      <c r="U109" s="195" t="str">
        <f t="shared" si="31"/>
        <v>N/A</v>
      </c>
      <c r="V109" s="195" t="str">
        <f t="shared" si="32"/>
        <v>N/A</v>
      </c>
      <c r="X109" s="211">
        <f t="shared" si="36"/>
        <v>0</v>
      </c>
      <c r="Y109" s="211">
        <f t="shared" si="37"/>
        <v>0</v>
      </c>
      <c r="Z109" s="211">
        <f t="shared" si="38"/>
        <v>0</v>
      </c>
      <c r="AA109" s="211">
        <f t="shared" si="39"/>
        <v>0</v>
      </c>
      <c r="AB109" s="211">
        <f t="shared" si="40"/>
        <v>0</v>
      </c>
    </row>
    <row r="110" spans="1:28" x14ac:dyDescent="0.3">
      <c r="A110" s="167"/>
      <c r="B110" s="167"/>
      <c r="C110" s="192"/>
      <c r="D110" s="192"/>
      <c r="E110" s="192"/>
      <c r="F110" s="192"/>
      <c r="G110" s="192"/>
      <c r="H110" s="192"/>
      <c r="I110" s="193">
        <f t="shared" ref="I110:I113" si="45">IF(B110="YES",(C110-E110)*(1-B104),C110-E110)</f>
        <v>0</v>
      </c>
      <c r="J110" s="193">
        <f t="shared" si="14"/>
        <v>0</v>
      </c>
      <c r="K110" s="193">
        <f t="shared" si="41"/>
        <v>0</v>
      </c>
      <c r="L110" s="193" t="e">
        <f t="shared" si="33"/>
        <v>#DIV/0!</v>
      </c>
      <c r="M110" s="193" t="e">
        <f t="shared" si="42"/>
        <v>#DIV/0!</v>
      </c>
      <c r="N110" s="193" t="e">
        <f t="shared" si="34"/>
        <v>#DIV/0!</v>
      </c>
      <c r="O110" s="193">
        <f t="shared" ref="O110:O113" si="46">IF(B110="YES",F110*(1-B104),F110)</f>
        <v>0</v>
      </c>
      <c r="P110" s="193">
        <f t="shared" ref="P110:P113" si="47">IF(B110="YES",H110*(1-B104),H110)</f>
        <v>0</v>
      </c>
      <c r="Q110" s="193" t="e">
        <f t="shared" si="43"/>
        <v>#DIV/0!</v>
      </c>
      <c r="R110" s="193">
        <f t="shared" si="35"/>
        <v>0</v>
      </c>
      <c r="T110" s="195" t="e">
        <f t="shared" si="44"/>
        <v>#DIV/0!</v>
      </c>
      <c r="U110" s="195" t="str">
        <f t="shared" si="31"/>
        <v>N/A</v>
      </c>
      <c r="V110" s="195" t="str">
        <f t="shared" si="32"/>
        <v>N/A</v>
      </c>
      <c r="X110" s="211">
        <f t="shared" si="36"/>
        <v>0</v>
      </c>
      <c r="Y110" s="211">
        <f t="shared" si="37"/>
        <v>0</v>
      </c>
      <c r="Z110" s="211">
        <f t="shared" si="38"/>
        <v>0</v>
      </c>
      <c r="AA110" s="211">
        <f t="shared" si="39"/>
        <v>0</v>
      </c>
      <c r="AB110" s="211">
        <f t="shared" si="40"/>
        <v>0</v>
      </c>
    </row>
    <row r="111" spans="1:28" x14ac:dyDescent="0.3">
      <c r="A111" s="167"/>
      <c r="B111" s="167"/>
      <c r="C111" s="192"/>
      <c r="D111" s="192"/>
      <c r="E111" s="192"/>
      <c r="F111" s="192"/>
      <c r="G111" s="192"/>
      <c r="H111" s="192"/>
      <c r="I111" s="193">
        <f t="shared" si="45"/>
        <v>0</v>
      </c>
      <c r="J111" s="193">
        <f t="shared" si="14"/>
        <v>0</v>
      </c>
      <c r="K111" s="193">
        <f t="shared" si="41"/>
        <v>0</v>
      </c>
      <c r="L111" s="193" t="e">
        <f t="shared" si="33"/>
        <v>#DIV/0!</v>
      </c>
      <c r="M111" s="193" t="e">
        <f t="shared" si="42"/>
        <v>#DIV/0!</v>
      </c>
      <c r="N111" s="193" t="e">
        <f t="shared" si="34"/>
        <v>#DIV/0!</v>
      </c>
      <c r="O111" s="193">
        <f t="shared" si="46"/>
        <v>0</v>
      </c>
      <c r="P111" s="193">
        <f t="shared" si="47"/>
        <v>0</v>
      </c>
      <c r="Q111" s="193" t="e">
        <f t="shared" si="43"/>
        <v>#DIV/0!</v>
      </c>
      <c r="R111" s="193">
        <f t="shared" si="35"/>
        <v>0</v>
      </c>
      <c r="T111" s="195" t="e">
        <f t="shared" si="44"/>
        <v>#DIV/0!</v>
      </c>
      <c r="U111" s="195" t="str">
        <f t="shared" si="31"/>
        <v>N/A</v>
      </c>
      <c r="V111" s="195" t="str">
        <f t="shared" si="32"/>
        <v>N/A</v>
      </c>
      <c r="X111" s="211">
        <f t="shared" si="36"/>
        <v>0</v>
      </c>
      <c r="Y111" s="211">
        <f t="shared" si="37"/>
        <v>0</v>
      </c>
      <c r="Z111" s="211">
        <f t="shared" si="38"/>
        <v>0</v>
      </c>
      <c r="AA111" s="211">
        <f t="shared" si="39"/>
        <v>0</v>
      </c>
      <c r="AB111" s="211">
        <f t="shared" si="40"/>
        <v>0</v>
      </c>
    </row>
    <row r="112" spans="1:28" x14ac:dyDescent="0.3">
      <c r="A112" s="167"/>
      <c r="B112" s="167"/>
      <c r="C112" s="192"/>
      <c r="D112" s="192"/>
      <c r="E112" s="192"/>
      <c r="F112" s="192"/>
      <c r="G112" s="192"/>
      <c r="H112" s="192"/>
      <c r="I112" s="193">
        <f t="shared" si="45"/>
        <v>0</v>
      </c>
      <c r="J112" s="193">
        <f t="shared" si="14"/>
        <v>0</v>
      </c>
      <c r="K112" s="193">
        <f t="shared" si="41"/>
        <v>0</v>
      </c>
      <c r="L112" s="193" t="e">
        <f t="shared" si="33"/>
        <v>#DIV/0!</v>
      </c>
      <c r="M112" s="193" t="e">
        <f t="shared" si="42"/>
        <v>#DIV/0!</v>
      </c>
      <c r="N112" s="193" t="e">
        <f t="shared" si="34"/>
        <v>#DIV/0!</v>
      </c>
      <c r="O112" s="193">
        <f t="shared" si="46"/>
        <v>0</v>
      </c>
      <c r="P112" s="193">
        <f t="shared" si="47"/>
        <v>0</v>
      </c>
      <c r="Q112" s="193" t="e">
        <f t="shared" si="43"/>
        <v>#DIV/0!</v>
      </c>
      <c r="R112" s="193">
        <f t="shared" si="35"/>
        <v>0</v>
      </c>
      <c r="T112" s="195" t="e">
        <f t="shared" si="44"/>
        <v>#DIV/0!</v>
      </c>
      <c r="U112" s="195" t="str">
        <f t="shared" si="31"/>
        <v>N/A</v>
      </c>
      <c r="V112" s="195" t="str">
        <f t="shared" si="32"/>
        <v>N/A</v>
      </c>
      <c r="X112" s="211">
        <f t="shared" si="36"/>
        <v>0</v>
      </c>
      <c r="Y112" s="211">
        <f t="shared" si="37"/>
        <v>0</v>
      </c>
      <c r="Z112" s="211">
        <f t="shared" si="38"/>
        <v>0</v>
      </c>
      <c r="AA112" s="211">
        <f t="shared" si="39"/>
        <v>0</v>
      </c>
      <c r="AB112" s="211">
        <f t="shared" si="40"/>
        <v>0</v>
      </c>
    </row>
    <row r="113" spans="1:28" x14ac:dyDescent="0.3">
      <c r="A113" s="167"/>
      <c r="B113" s="167"/>
      <c r="C113" s="192"/>
      <c r="D113" s="192"/>
      <c r="E113" s="192"/>
      <c r="F113" s="192"/>
      <c r="G113" s="192"/>
      <c r="H113" s="192"/>
      <c r="I113" s="193">
        <f t="shared" si="45"/>
        <v>0</v>
      </c>
      <c r="J113" s="193">
        <f t="shared" si="14"/>
        <v>0</v>
      </c>
      <c r="K113" s="193">
        <f t="shared" si="41"/>
        <v>0</v>
      </c>
      <c r="L113" s="193" t="e">
        <f t="shared" si="33"/>
        <v>#DIV/0!</v>
      </c>
      <c r="M113" s="193" t="e">
        <f t="shared" si="42"/>
        <v>#DIV/0!</v>
      </c>
      <c r="N113" s="193" t="e">
        <f t="shared" si="34"/>
        <v>#DIV/0!</v>
      </c>
      <c r="O113" s="193">
        <f t="shared" si="46"/>
        <v>0</v>
      </c>
      <c r="P113" s="193">
        <f t="shared" si="47"/>
        <v>0</v>
      </c>
      <c r="Q113" s="193" t="e">
        <f t="shared" si="43"/>
        <v>#DIV/0!</v>
      </c>
      <c r="R113" s="193">
        <f t="shared" si="35"/>
        <v>0</v>
      </c>
      <c r="T113" s="195" t="e">
        <f t="shared" si="44"/>
        <v>#DIV/0!</v>
      </c>
      <c r="U113" s="195" t="str">
        <f t="shared" si="31"/>
        <v>N/A</v>
      </c>
      <c r="V113" s="195" t="str">
        <f t="shared" si="32"/>
        <v>N/A</v>
      </c>
      <c r="X113" s="211">
        <f t="shared" si="36"/>
        <v>0</v>
      </c>
      <c r="Y113" s="211">
        <f t="shared" si="37"/>
        <v>0</v>
      </c>
      <c r="Z113" s="211">
        <f t="shared" si="38"/>
        <v>0</v>
      </c>
      <c r="AA113" s="211">
        <f t="shared" si="39"/>
        <v>0</v>
      </c>
      <c r="AB113" s="211">
        <f t="shared" si="40"/>
        <v>0</v>
      </c>
    </row>
    <row r="114" spans="1:28" x14ac:dyDescent="0.3">
      <c r="A114" s="167"/>
      <c r="B114" s="167"/>
      <c r="C114" s="192"/>
      <c r="D114" s="192"/>
      <c r="E114" s="192"/>
      <c r="F114" s="192"/>
      <c r="G114" s="192"/>
      <c r="H114" s="192"/>
      <c r="I114" s="193">
        <f>IF(B114="YES",(C114-E114)*(1-B37),C114-E114)</f>
        <v>0</v>
      </c>
      <c r="J114" s="193">
        <f t="shared" si="14"/>
        <v>0</v>
      </c>
      <c r="K114" s="193">
        <f t="shared" si="15"/>
        <v>0</v>
      </c>
      <c r="L114" s="193" t="e">
        <f t="shared" si="33"/>
        <v>#DIV/0!</v>
      </c>
      <c r="M114" s="193" t="e">
        <f t="shared" si="16"/>
        <v>#DIV/0!</v>
      </c>
      <c r="N114" s="193" t="e">
        <f t="shared" si="34"/>
        <v>#DIV/0!</v>
      </c>
      <c r="O114" s="193">
        <f>IF(B114="YES",F114*(1-B37),F114)</f>
        <v>0</v>
      </c>
      <c r="P114" s="193">
        <f>IF(B114="YES",H114*(1-B37),H114)</f>
        <v>0</v>
      </c>
      <c r="Q114" s="193" t="e">
        <f t="shared" si="17"/>
        <v>#DIV/0!</v>
      </c>
      <c r="R114" s="193">
        <f t="shared" si="35"/>
        <v>0</v>
      </c>
      <c r="T114" s="195" t="e">
        <f t="shared" si="8"/>
        <v>#DIV/0!</v>
      </c>
      <c r="U114" s="195" t="str">
        <f t="shared" si="31"/>
        <v>N/A</v>
      </c>
      <c r="V114" s="195" t="str">
        <f t="shared" si="32"/>
        <v>N/A</v>
      </c>
      <c r="X114" s="211">
        <f t="shared" si="36"/>
        <v>0</v>
      </c>
      <c r="Y114" s="211">
        <f t="shared" si="37"/>
        <v>0</v>
      </c>
      <c r="Z114" s="211">
        <f t="shared" si="38"/>
        <v>0</v>
      </c>
      <c r="AA114" s="211">
        <f t="shared" si="39"/>
        <v>0</v>
      </c>
      <c r="AB114" s="211">
        <f t="shared" si="40"/>
        <v>0</v>
      </c>
    </row>
    <row r="116" spans="1:28" x14ac:dyDescent="0.3">
      <c r="C116" s="140"/>
      <c r="D116" s="140"/>
      <c r="I116" s="140"/>
      <c r="J116" s="140"/>
      <c r="K116" s="140"/>
      <c r="L116" s="140"/>
      <c r="M116" s="140"/>
      <c r="N116" s="140"/>
    </row>
    <row r="117" spans="1:28" x14ac:dyDescent="0.3">
      <c r="C117" s="140"/>
      <c r="D117" s="140"/>
      <c r="E117" s="140"/>
      <c r="I117" s="193">
        <f>SUM(I13:I114)</f>
        <v>0</v>
      </c>
      <c r="J117" s="193">
        <f t="shared" ref="J117:P117" si="48">SUM(J13:J114)</f>
        <v>0</v>
      </c>
      <c r="K117" s="193">
        <f t="shared" si="48"/>
        <v>0</v>
      </c>
      <c r="L117" s="193" t="e">
        <f t="shared" si="48"/>
        <v>#DIV/0!</v>
      </c>
      <c r="M117" s="193" t="e">
        <f t="shared" si="48"/>
        <v>#DIV/0!</v>
      </c>
      <c r="N117" s="193"/>
      <c r="O117" s="193">
        <f t="shared" si="48"/>
        <v>0</v>
      </c>
      <c r="P117" s="193">
        <f t="shared" si="48"/>
        <v>0</v>
      </c>
    </row>
    <row r="118" spans="1:28" x14ac:dyDescent="0.3">
      <c r="I118" s="194" t="str">
        <f>IF(I117&lt;0, "QBL","N/A")</f>
        <v>N/A</v>
      </c>
      <c r="J118" s="4"/>
      <c r="T118" s="195" t="e">
        <f>SUM(T14:T114)</f>
        <v>#DIV/0!</v>
      </c>
      <c r="U118" s="195">
        <f>SUM(U14:U114)</f>
        <v>0</v>
      </c>
      <c r="V118" s="195">
        <f>SUM(V14:V114)</f>
        <v>0</v>
      </c>
      <c r="AB118" s="195">
        <f>SUM(AB14:AB114)</f>
        <v>0</v>
      </c>
    </row>
    <row r="119" spans="1:28" ht="15.6" x14ac:dyDescent="0.3">
      <c r="A119" s="180" t="s">
        <v>63</v>
      </c>
      <c r="B119" s="181"/>
      <c r="C119" s="182">
        <f>IF(I117&gt;0,T118+U118+V118-AB118,0)</f>
        <v>0</v>
      </c>
      <c r="D119" s="182"/>
      <c r="E119" s="183" t="s">
        <v>843</v>
      </c>
      <c r="F119" s="172"/>
      <c r="G119" s="172"/>
    </row>
    <row r="120" spans="1:28" ht="15.6" x14ac:dyDescent="0.3">
      <c r="A120" s="179" t="s">
        <v>844</v>
      </c>
      <c r="B120" s="212">
        <f>'Brokerage Summary (Sch B, D)'!S41</f>
        <v>0</v>
      </c>
      <c r="C120" s="177">
        <f>0.2*B120</f>
        <v>0</v>
      </c>
      <c r="D120" s="177"/>
      <c r="E120" s="176" t="s">
        <v>845</v>
      </c>
      <c r="F120" s="172"/>
      <c r="G120" s="172"/>
    </row>
    <row r="121" spans="1:28" ht="15.6" x14ac:dyDescent="0.3">
      <c r="A121" s="179" t="s">
        <v>846</v>
      </c>
      <c r="B121" s="199"/>
      <c r="C121" s="173">
        <f>0.2*B121</f>
        <v>0</v>
      </c>
      <c r="D121" s="177"/>
      <c r="E121" s="176" t="s">
        <v>845</v>
      </c>
      <c r="F121" s="172"/>
      <c r="G121" s="172"/>
    </row>
    <row r="122" spans="1:28" ht="15.6" x14ac:dyDescent="0.3">
      <c r="A122" s="274" t="s">
        <v>847</v>
      </c>
      <c r="B122" s="275"/>
      <c r="C122" s="178">
        <f>SUM(C119:C121)</f>
        <v>0</v>
      </c>
      <c r="D122" s="178"/>
      <c r="E122" s="184" t="s">
        <v>848</v>
      </c>
      <c r="F122" s="175"/>
      <c r="G122" s="175"/>
    </row>
    <row r="124" spans="1:28" ht="15.6" x14ac:dyDescent="0.3">
      <c r="A124" s="180" t="s">
        <v>849</v>
      </c>
      <c r="B124" s="185">
        <f>B5</f>
        <v>0</v>
      </c>
      <c r="C124" s="183" t="s">
        <v>850</v>
      </c>
      <c r="D124" s="172"/>
    </row>
    <row r="125" spans="1:28" ht="15.6" x14ac:dyDescent="0.3">
      <c r="A125" s="179" t="s">
        <v>851</v>
      </c>
      <c r="B125" s="200"/>
      <c r="C125" s="176" t="s">
        <v>852</v>
      </c>
      <c r="D125" s="172"/>
    </row>
    <row r="126" spans="1:28" ht="15.6" x14ac:dyDescent="0.3">
      <c r="A126" s="179" t="s">
        <v>853</v>
      </c>
      <c r="B126" s="200"/>
      <c r="C126" s="176" t="s">
        <v>852</v>
      </c>
      <c r="D126" s="172"/>
    </row>
    <row r="127" spans="1:28" ht="15.6" x14ac:dyDescent="0.3">
      <c r="A127" s="179" t="s">
        <v>854</v>
      </c>
      <c r="B127" s="177">
        <f>B124-B125-B126</f>
        <v>0</v>
      </c>
      <c r="C127" s="186"/>
      <c r="D127" s="168"/>
    </row>
    <row r="128" spans="1:28" ht="15.6" x14ac:dyDescent="0.3">
      <c r="A128" s="187" t="s">
        <v>855</v>
      </c>
      <c r="B128" s="188">
        <f>IF(B127&gt;0,B127*0.2,0)</f>
        <v>0</v>
      </c>
      <c r="C128" s="184" t="s">
        <v>856</v>
      </c>
      <c r="D128" s="175"/>
    </row>
    <row r="130" spans="1:4" ht="15.6" x14ac:dyDescent="0.3">
      <c r="A130" s="180" t="s">
        <v>857</v>
      </c>
      <c r="B130" s="189">
        <f>0.2*B126</f>
        <v>0</v>
      </c>
      <c r="C130" s="190" t="s">
        <v>858</v>
      </c>
      <c r="D130" s="175"/>
    </row>
    <row r="131" spans="1:4" ht="15.6" x14ac:dyDescent="0.3">
      <c r="A131" s="179"/>
      <c r="B131" s="191"/>
      <c r="C131" s="176"/>
      <c r="D131" s="172"/>
    </row>
    <row r="132" spans="1:4" ht="15.6" x14ac:dyDescent="0.3">
      <c r="A132" s="179" t="s">
        <v>849</v>
      </c>
      <c r="B132" s="174">
        <f>B5</f>
        <v>0</v>
      </c>
      <c r="C132" s="176"/>
      <c r="D132" s="172"/>
    </row>
    <row r="133" spans="1:4" ht="15.6" x14ac:dyDescent="0.3">
      <c r="A133" s="179" t="s">
        <v>859</v>
      </c>
      <c r="B133" s="178">
        <f>B125</f>
        <v>0</v>
      </c>
      <c r="C133" s="176"/>
      <c r="D133" s="172"/>
    </row>
    <row r="134" spans="1:4" ht="15.6" x14ac:dyDescent="0.3">
      <c r="A134" s="187"/>
      <c r="B134" s="173">
        <f>B132-B133</f>
        <v>0</v>
      </c>
      <c r="C134" s="184" t="s">
        <v>860</v>
      </c>
      <c r="D134" s="175"/>
    </row>
    <row r="135" spans="1:4" ht="15.6" x14ac:dyDescent="0.3">
      <c r="A135" s="172"/>
      <c r="B135" s="177"/>
      <c r="C135" s="175"/>
      <c r="D135" s="175"/>
    </row>
    <row r="137" spans="1:4" ht="15.6" x14ac:dyDescent="0.3">
      <c r="A137" s="175" t="s">
        <v>861</v>
      </c>
      <c r="B137" s="116">
        <f>IF(B128&lt;C122,B128,C122)</f>
        <v>0</v>
      </c>
    </row>
    <row r="138" spans="1:4" ht="15.6" x14ac:dyDescent="0.3">
      <c r="A138" s="175" t="s">
        <v>862</v>
      </c>
      <c r="B138" s="201">
        <f>IF(B130&lt;B134,IF(B130&gt;0,B130,0),IF(B134&gt;0,B134,0))</f>
        <v>0</v>
      </c>
    </row>
    <row r="139" spans="1:4" ht="15.6" x14ac:dyDescent="0.3">
      <c r="A139" s="175" t="s">
        <v>863</v>
      </c>
      <c r="B139" s="200"/>
    </row>
    <row r="140" spans="1:4" ht="15.6" x14ac:dyDescent="0.3">
      <c r="A140" s="172"/>
    </row>
    <row r="141" spans="1:4" ht="16.2" thickBot="1" x14ac:dyDescent="0.35">
      <c r="A141" s="175" t="s">
        <v>864</v>
      </c>
      <c r="B141" s="198">
        <f>SUM(B137:B139)</f>
        <v>0</v>
      </c>
    </row>
    <row r="142" spans="1:4" ht="15" thickTop="1" x14ac:dyDescent="0.3"/>
  </sheetData>
  <mergeCells count="4">
    <mergeCell ref="T10:V10"/>
    <mergeCell ref="A122:B122"/>
    <mergeCell ref="X10:AB10"/>
    <mergeCell ref="X11:AB11"/>
  </mergeCells>
  <dataValidations count="2">
    <dataValidation type="list" allowBlank="1" showInputMessage="1" showErrorMessage="1" sqref="B4" xr:uid="{00000000-0002-0000-1000-000000000000}">
      <formula1>$AM$4:$AM$7</formula1>
    </dataValidation>
    <dataValidation type="list" allowBlank="1" showInputMessage="1" showErrorMessage="1" sqref="B14:B114" xr:uid="{00000000-0002-0000-1000-000001000000}">
      <formula1>$AN$4:$AN$5</formula1>
    </dataValidation>
  </dataValidation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Q74"/>
  <sheetViews>
    <sheetView workbookViewId="0"/>
  </sheetViews>
  <sheetFormatPr defaultColWidth="8.88671875" defaultRowHeight="14.4" x14ac:dyDescent="0.3"/>
  <cols>
    <col min="1" max="1" width="6.6640625" customWidth="1"/>
    <col min="2" max="2" width="7.6640625" customWidth="1"/>
    <col min="3" max="3" width="51.33203125" customWidth="1"/>
    <col min="4" max="4" width="10.5546875" bestFit="1" customWidth="1"/>
    <col min="5" max="5" width="2.33203125" customWidth="1"/>
  </cols>
  <sheetData>
    <row r="1" spans="1:17" x14ac:dyDescent="0.3">
      <c r="A1" s="81"/>
      <c r="B1" s="91" t="s">
        <v>543</v>
      </c>
    </row>
    <row r="2" spans="1:17" x14ac:dyDescent="0.3">
      <c r="A2" s="151" t="s">
        <v>83</v>
      </c>
      <c r="C2" s="59"/>
    </row>
    <row r="3" spans="1:17" s="91" customFormat="1" x14ac:dyDescent="0.3">
      <c r="A3" s="91" t="s">
        <v>701</v>
      </c>
      <c r="B3" s="91" t="s">
        <v>62</v>
      </c>
      <c r="D3" s="91" t="s">
        <v>702</v>
      </c>
      <c r="F3" s="34" t="s">
        <v>703</v>
      </c>
      <c r="G3" s="34" t="s">
        <v>704</v>
      </c>
      <c r="H3" s="34" t="s">
        <v>705</v>
      </c>
      <c r="I3" s="34" t="s">
        <v>706</v>
      </c>
      <c r="J3" s="34" t="s">
        <v>707</v>
      </c>
      <c r="K3" s="34" t="s">
        <v>708</v>
      </c>
      <c r="L3" s="34" t="s">
        <v>709</v>
      </c>
      <c r="M3" s="34" t="s">
        <v>710</v>
      </c>
      <c r="N3" s="34" t="s">
        <v>711</v>
      </c>
      <c r="O3" s="34" t="s">
        <v>712</v>
      </c>
      <c r="P3" s="34" t="s">
        <v>713</v>
      </c>
      <c r="Q3" s="34" t="s">
        <v>714</v>
      </c>
    </row>
    <row r="4" spans="1:17" x14ac:dyDescent="0.3">
      <c r="A4" s="3" t="s">
        <v>65</v>
      </c>
      <c r="B4" t="s">
        <v>865</v>
      </c>
      <c r="D4" s="59"/>
      <c r="F4" s="59"/>
      <c r="G4" s="59"/>
      <c r="H4" s="59"/>
      <c r="I4" s="59"/>
      <c r="J4" s="59"/>
      <c r="K4" s="59"/>
      <c r="L4" s="59"/>
      <c r="M4" s="59"/>
      <c r="N4" s="59"/>
      <c r="O4" s="59"/>
      <c r="P4" s="59"/>
      <c r="Q4" s="149">
        <f>SUM(F4:P4)</f>
        <v>0</v>
      </c>
    </row>
    <row r="5" spans="1:17" x14ac:dyDescent="0.3">
      <c r="A5" s="3" t="s">
        <v>866</v>
      </c>
      <c r="B5" t="s">
        <v>867</v>
      </c>
      <c r="D5" s="59"/>
      <c r="F5" s="59"/>
      <c r="G5" s="59"/>
      <c r="H5" s="59"/>
      <c r="I5" s="59"/>
      <c r="J5" s="59"/>
      <c r="K5" s="59"/>
      <c r="L5" s="59"/>
      <c r="M5" s="59"/>
      <c r="N5" s="59"/>
      <c r="O5" s="59"/>
      <c r="P5" s="59"/>
      <c r="Q5" s="149"/>
    </row>
    <row r="6" spans="1:17" x14ac:dyDescent="0.3">
      <c r="A6" s="3">
        <v>2</v>
      </c>
      <c r="B6" t="s">
        <v>868</v>
      </c>
      <c r="D6" s="59"/>
      <c r="F6" s="59"/>
      <c r="G6" s="59"/>
      <c r="H6" s="59"/>
      <c r="I6" s="59"/>
      <c r="J6" s="59"/>
      <c r="K6" s="59"/>
      <c r="L6" s="59"/>
      <c r="M6" s="59"/>
      <c r="N6" s="59"/>
      <c r="O6" s="59"/>
      <c r="P6" s="59"/>
      <c r="Q6" s="149">
        <f t="shared" ref="Q6:Q58" si="0">SUM(F6:P6)</f>
        <v>0</v>
      </c>
    </row>
    <row r="7" spans="1:17" x14ac:dyDescent="0.3">
      <c r="A7" s="3" t="s">
        <v>69</v>
      </c>
      <c r="B7" t="s">
        <v>869</v>
      </c>
      <c r="D7" s="59"/>
      <c r="F7" s="59"/>
      <c r="G7" s="59"/>
      <c r="H7" s="59"/>
      <c r="I7" s="59"/>
      <c r="J7" s="59"/>
      <c r="K7" s="59"/>
      <c r="L7" s="59"/>
      <c r="M7" s="59"/>
      <c r="N7" s="59"/>
      <c r="O7" s="59"/>
      <c r="P7" s="59"/>
      <c r="Q7" s="149">
        <f t="shared" si="0"/>
        <v>0</v>
      </c>
    </row>
    <row r="8" spans="1:17" x14ac:dyDescent="0.3">
      <c r="A8" s="3" t="s">
        <v>71</v>
      </c>
      <c r="B8" t="s">
        <v>870</v>
      </c>
      <c r="D8" s="59"/>
      <c r="F8" s="59"/>
      <c r="G8" s="59"/>
      <c r="H8" s="59"/>
      <c r="I8" s="59"/>
      <c r="J8" s="59"/>
      <c r="K8" s="59"/>
      <c r="L8" s="59"/>
      <c r="M8" s="59"/>
      <c r="N8" s="59"/>
      <c r="O8" s="59"/>
      <c r="P8" s="59"/>
      <c r="Q8" s="149">
        <f t="shared" si="0"/>
        <v>0</v>
      </c>
    </row>
    <row r="9" spans="1:17" x14ac:dyDescent="0.3">
      <c r="A9" s="3" t="s">
        <v>871</v>
      </c>
      <c r="B9" t="s">
        <v>872</v>
      </c>
      <c r="D9" s="59"/>
      <c r="F9" s="59"/>
      <c r="G9" s="59"/>
      <c r="H9" s="59"/>
      <c r="I9" s="59"/>
      <c r="J9" s="59"/>
      <c r="K9" s="59"/>
      <c r="L9" s="59"/>
      <c r="M9" s="59"/>
      <c r="N9" s="59"/>
      <c r="O9" s="59"/>
      <c r="P9" s="59"/>
      <c r="Q9" s="149">
        <f t="shared" si="0"/>
        <v>0</v>
      </c>
    </row>
    <row r="10" spans="1:17" x14ac:dyDescent="0.3">
      <c r="A10" s="3" t="s">
        <v>75</v>
      </c>
      <c r="B10" t="s">
        <v>873</v>
      </c>
      <c r="D10" s="59"/>
      <c r="F10" s="59"/>
      <c r="G10" s="59"/>
      <c r="H10" s="59"/>
      <c r="I10" s="59"/>
      <c r="J10" s="59"/>
      <c r="K10" s="59"/>
      <c r="L10" s="59"/>
      <c r="M10" s="59"/>
      <c r="N10" s="59"/>
      <c r="O10" s="59"/>
      <c r="P10" s="59"/>
      <c r="Q10" s="149">
        <f t="shared" si="0"/>
        <v>0</v>
      </c>
    </row>
    <row r="11" spans="1:17" x14ac:dyDescent="0.3">
      <c r="A11" s="3" t="s">
        <v>874</v>
      </c>
      <c r="B11" t="s">
        <v>875</v>
      </c>
      <c r="D11" s="59"/>
      <c r="F11" s="59"/>
      <c r="G11" s="59"/>
      <c r="H11" s="59"/>
      <c r="I11" s="59"/>
      <c r="J11" s="59"/>
      <c r="K11" s="59"/>
      <c r="L11" s="59"/>
      <c r="M11" s="59"/>
      <c r="N11" s="59"/>
      <c r="O11" s="59"/>
      <c r="P11" s="59"/>
      <c r="Q11" s="149"/>
    </row>
    <row r="12" spans="1:17" x14ac:dyDescent="0.3">
      <c r="A12" s="3">
        <v>7</v>
      </c>
      <c r="B12" t="s">
        <v>876</v>
      </c>
      <c r="D12" s="59"/>
      <c r="F12" s="59"/>
      <c r="G12" s="59"/>
      <c r="H12" s="59"/>
      <c r="I12" s="59"/>
      <c r="J12" s="59"/>
      <c r="K12" s="59"/>
      <c r="L12" s="59"/>
      <c r="M12" s="59"/>
      <c r="N12" s="59"/>
      <c r="O12" s="59"/>
      <c r="P12" s="59"/>
      <c r="Q12" s="149">
        <f t="shared" si="0"/>
        <v>0</v>
      </c>
    </row>
    <row r="13" spans="1:17" x14ac:dyDescent="0.3">
      <c r="A13" s="3">
        <v>8</v>
      </c>
      <c r="B13" t="s">
        <v>877</v>
      </c>
      <c r="D13" s="59"/>
      <c r="F13" s="59"/>
      <c r="G13" s="59"/>
      <c r="H13" s="59"/>
      <c r="I13" s="59"/>
      <c r="J13" s="59"/>
      <c r="K13" s="59"/>
      <c r="L13" s="59"/>
      <c r="M13" s="59"/>
      <c r="N13" s="59"/>
      <c r="O13" s="59"/>
      <c r="P13" s="59"/>
      <c r="Q13" s="149">
        <f t="shared" si="0"/>
        <v>0</v>
      </c>
    </row>
    <row r="14" spans="1:17" x14ac:dyDescent="0.3">
      <c r="A14" s="3"/>
      <c r="C14" s="59"/>
      <c r="D14" s="59"/>
      <c r="F14" s="59"/>
      <c r="G14" s="59"/>
      <c r="H14" s="59"/>
      <c r="I14" s="59"/>
      <c r="J14" s="59"/>
      <c r="K14" s="59"/>
      <c r="L14" s="59"/>
      <c r="M14" s="59"/>
      <c r="N14" s="59"/>
      <c r="O14" s="59"/>
      <c r="P14" s="59"/>
      <c r="Q14" s="149">
        <f t="shared" si="0"/>
        <v>0</v>
      </c>
    </row>
    <row r="15" spans="1:17" x14ac:dyDescent="0.3">
      <c r="A15" s="3"/>
      <c r="C15" s="59"/>
      <c r="D15" s="59"/>
      <c r="F15" s="59"/>
      <c r="G15" s="59"/>
      <c r="H15" s="59"/>
      <c r="I15" s="59"/>
      <c r="J15" s="59"/>
      <c r="K15" s="59"/>
      <c r="L15" s="59"/>
      <c r="M15" s="59"/>
      <c r="N15" s="59"/>
      <c r="O15" s="59"/>
      <c r="P15" s="59"/>
      <c r="Q15" s="149"/>
    </row>
    <row r="16" spans="1:17" x14ac:dyDescent="0.3">
      <c r="A16" s="3"/>
      <c r="C16" s="59"/>
      <c r="D16" s="59"/>
      <c r="F16" s="59"/>
      <c r="G16" s="59"/>
      <c r="H16" s="59"/>
      <c r="I16" s="59"/>
      <c r="J16" s="59"/>
      <c r="K16" s="59"/>
      <c r="L16" s="59"/>
      <c r="M16" s="59"/>
      <c r="N16" s="59"/>
      <c r="O16" s="59"/>
      <c r="P16" s="59"/>
      <c r="Q16" s="149"/>
    </row>
    <row r="17" spans="1:17" x14ac:dyDescent="0.3">
      <c r="A17" s="3"/>
      <c r="C17" s="59"/>
      <c r="D17" s="59"/>
      <c r="F17" s="59"/>
      <c r="G17" s="59"/>
      <c r="H17" s="59"/>
      <c r="I17" s="59"/>
      <c r="J17" s="59"/>
      <c r="K17" s="59"/>
      <c r="L17" s="59"/>
      <c r="M17" s="59"/>
      <c r="N17" s="59"/>
      <c r="O17" s="59"/>
      <c r="P17" s="59"/>
      <c r="Q17" s="149"/>
    </row>
    <row r="18" spans="1:17" x14ac:dyDescent="0.3">
      <c r="A18" s="3"/>
      <c r="C18" s="59"/>
      <c r="D18" s="59"/>
      <c r="F18" s="59"/>
      <c r="G18" s="59"/>
      <c r="H18" s="59"/>
      <c r="I18" s="59"/>
      <c r="J18" s="59"/>
      <c r="K18" s="59"/>
      <c r="L18" s="59"/>
      <c r="M18" s="59"/>
      <c r="N18" s="59"/>
      <c r="O18" s="59"/>
      <c r="P18" s="59"/>
      <c r="Q18" s="149"/>
    </row>
    <row r="19" spans="1:17" x14ac:dyDescent="0.3">
      <c r="A19" s="3">
        <v>10</v>
      </c>
      <c r="B19" t="s">
        <v>726</v>
      </c>
      <c r="D19" s="59"/>
      <c r="F19" s="59"/>
      <c r="G19" s="59"/>
      <c r="H19" s="59"/>
      <c r="I19" s="59"/>
      <c r="J19" s="59"/>
      <c r="K19" s="59"/>
      <c r="L19" s="59"/>
      <c r="M19" s="59"/>
      <c r="N19" s="59"/>
      <c r="O19" s="59"/>
      <c r="P19" s="59"/>
      <c r="Q19" s="149">
        <f t="shared" si="0"/>
        <v>0</v>
      </c>
    </row>
    <row r="20" spans="1:17" x14ac:dyDescent="0.3">
      <c r="A20" s="3">
        <v>11</v>
      </c>
      <c r="B20" t="s">
        <v>878</v>
      </c>
      <c r="D20" s="59"/>
      <c r="F20" s="59"/>
      <c r="G20" s="59"/>
      <c r="H20" s="59"/>
      <c r="I20" s="59"/>
      <c r="J20" s="59"/>
      <c r="K20" s="59"/>
      <c r="L20" s="59"/>
      <c r="M20" s="59"/>
      <c r="N20" s="59"/>
      <c r="O20" s="59"/>
      <c r="P20" s="59"/>
      <c r="Q20" s="149"/>
    </row>
    <row r="21" spans="1:17" x14ac:dyDescent="0.3">
      <c r="A21" s="3">
        <v>12</v>
      </c>
      <c r="B21" t="s">
        <v>879</v>
      </c>
      <c r="D21" s="59"/>
      <c r="F21" s="59"/>
      <c r="G21" s="59"/>
      <c r="H21" s="59"/>
      <c r="I21" s="59"/>
      <c r="J21" s="59"/>
      <c r="K21" s="59"/>
      <c r="L21" s="59"/>
      <c r="M21" s="59"/>
      <c r="N21" s="59"/>
      <c r="O21" s="59"/>
      <c r="P21" s="59"/>
      <c r="Q21" s="149"/>
    </row>
    <row r="22" spans="1:17" x14ac:dyDescent="0.3">
      <c r="A22" s="3">
        <v>13</v>
      </c>
      <c r="B22" t="s">
        <v>880</v>
      </c>
      <c r="D22" s="59"/>
      <c r="F22" s="59"/>
      <c r="G22" s="59"/>
      <c r="H22" s="59"/>
      <c r="I22" s="59"/>
      <c r="J22" s="59"/>
      <c r="K22" s="59"/>
      <c r="L22" s="59"/>
      <c r="M22" s="59"/>
      <c r="N22" s="59"/>
      <c r="O22" s="59"/>
      <c r="P22" s="59"/>
      <c r="Q22" s="149">
        <f t="shared" si="0"/>
        <v>0</v>
      </c>
    </row>
    <row r="23" spans="1:17" x14ac:dyDescent="0.3">
      <c r="A23" s="3">
        <v>14</v>
      </c>
      <c r="B23" t="s">
        <v>730</v>
      </c>
      <c r="D23" s="59"/>
      <c r="F23" s="59"/>
      <c r="G23" s="59"/>
      <c r="H23" s="59"/>
      <c r="I23" s="59"/>
      <c r="J23" s="59"/>
      <c r="K23" s="59"/>
      <c r="L23" s="59"/>
      <c r="M23" s="59"/>
      <c r="N23" s="59"/>
      <c r="O23" s="59"/>
      <c r="P23" s="59"/>
      <c r="Q23" s="149">
        <f t="shared" si="0"/>
        <v>0</v>
      </c>
    </row>
    <row r="24" spans="1:17" x14ac:dyDescent="0.3">
      <c r="A24" s="3">
        <v>15</v>
      </c>
      <c r="B24" t="s">
        <v>731</v>
      </c>
      <c r="D24" s="59"/>
      <c r="F24" s="59"/>
      <c r="G24" s="59"/>
      <c r="H24" s="59"/>
      <c r="I24" s="59"/>
      <c r="J24" s="59"/>
      <c r="K24" s="59"/>
      <c r="L24" s="59"/>
      <c r="M24" s="59"/>
      <c r="N24" s="59"/>
      <c r="O24" s="59"/>
      <c r="P24" s="59"/>
      <c r="Q24" s="149">
        <f t="shared" si="0"/>
        <v>0</v>
      </c>
    </row>
    <row r="25" spans="1:17" x14ac:dyDescent="0.3">
      <c r="A25" s="3">
        <v>16</v>
      </c>
      <c r="B25" t="s">
        <v>881</v>
      </c>
      <c r="D25" s="59"/>
      <c r="F25" s="59"/>
      <c r="G25" s="59"/>
      <c r="H25" s="59"/>
      <c r="I25" s="59"/>
      <c r="J25" s="59"/>
      <c r="K25" s="59"/>
      <c r="L25" s="59"/>
      <c r="M25" s="59"/>
      <c r="N25" s="59"/>
      <c r="O25" s="59"/>
      <c r="P25" s="59"/>
      <c r="Q25" s="149"/>
    </row>
    <row r="26" spans="1:17" x14ac:dyDescent="0.3">
      <c r="A26" s="3">
        <v>17</v>
      </c>
      <c r="B26" t="s">
        <v>882</v>
      </c>
      <c r="D26" s="59"/>
      <c r="F26" s="59"/>
      <c r="G26" s="59"/>
      <c r="H26" s="59"/>
      <c r="I26" s="59"/>
      <c r="J26" s="59"/>
      <c r="K26" s="59"/>
      <c r="L26" s="59"/>
      <c r="M26" s="59"/>
      <c r="N26" s="59"/>
      <c r="O26" s="59"/>
      <c r="P26" s="59"/>
      <c r="Q26" s="149"/>
    </row>
    <row r="27" spans="1:17" x14ac:dyDescent="0.3">
      <c r="A27" s="3">
        <v>18</v>
      </c>
      <c r="B27" t="s">
        <v>883</v>
      </c>
      <c r="D27" s="59"/>
      <c r="F27" s="59"/>
      <c r="G27" s="59"/>
      <c r="H27" s="59"/>
      <c r="I27" s="59"/>
      <c r="J27" s="59"/>
      <c r="K27" s="59"/>
      <c r="L27" s="59"/>
      <c r="M27" s="59"/>
      <c r="N27" s="59"/>
      <c r="O27" s="59"/>
      <c r="P27" s="59"/>
      <c r="Q27" s="149"/>
    </row>
    <row r="28" spans="1:17" x14ac:dyDescent="0.3">
      <c r="A28" s="3">
        <v>19</v>
      </c>
      <c r="B28" t="s">
        <v>884</v>
      </c>
      <c r="D28" s="59"/>
      <c r="F28" s="59"/>
      <c r="G28" s="59"/>
      <c r="H28" s="59"/>
      <c r="I28" s="59"/>
      <c r="J28" s="59"/>
      <c r="K28" s="59"/>
      <c r="L28" s="59"/>
      <c r="M28" s="59"/>
      <c r="N28" s="59"/>
      <c r="O28" s="59"/>
      <c r="P28" s="59"/>
      <c r="Q28" s="149"/>
    </row>
    <row r="29" spans="1:17" x14ac:dyDescent="0.3">
      <c r="A29" s="3">
        <v>20</v>
      </c>
      <c r="B29" t="s">
        <v>732</v>
      </c>
      <c r="D29" s="59"/>
      <c r="F29" s="59"/>
      <c r="G29" s="59"/>
      <c r="H29" s="59"/>
      <c r="I29" s="59"/>
      <c r="J29" s="59"/>
      <c r="K29" s="59"/>
      <c r="L29" s="59"/>
      <c r="M29" s="59"/>
      <c r="N29" s="59"/>
      <c r="O29" s="59"/>
      <c r="P29" s="59"/>
      <c r="Q29" s="149">
        <f t="shared" si="0"/>
        <v>0</v>
      </c>
    </row>
    <row r="30" spans="1:17" x14ac:dyDescent="0.3">
      <c r="A30" s="3" t="s">
        <v>885</v>
      </c>
      <c r="B30" t="s">
        <v>733</v>
      </c>
      <c r="D30" s="59"/>
      <c r="F30" s="59"/>
      <c r="G30" s="59"/>
      <c r="H30" s="59"/>
      <c r="I30" s="59"/>
      <c r="J30" s="59"/>
      <c r="K30" s="59"/>
      <c r="L30" s="59"/>
      <c r="M30" s="59"/>
      <c r="N30" s="59"/>
      <c r="O30" s="59"/>
      <c r="P30" s="59"/>
      <c r="Q30" s="149">
        <f t="shared" si="0"/>
        <v>0</v>
      </c>
    </row>
    <row r="31" spans="1:17" x14ac:dyDescent="0.3">
      <c r="A31" s="3" t="s">
        <v>886</v>
      </c>
      <c r="B31" t="s">
        <v>734</v>
      </c>
      <c r="D31" s="59"/>
      <c r="F31" s="59"/>
      <c r="G31" s="59"/>
      <c r="H31" s="59"/>
      <c r="I31" s="59"/>
      <c r="J31" s="59"/>
      <c r="K31" s="59"/>
      <c r="L31" s="59"/>
      <c r="M31" s="59"/>
      <c r="N31" s="59"/>
      <c r="O31" s="59"/>
      <c r="P31" s="59"/>
      <c r="Q31" s="149">
        <f t="shared" si="0"/>
        <v>0</v>
      </c>
    </row>
    <row r="32" spans="1:17" x14ac:dyDescent="0.3">
      <c r="A32" s="3">
        <v>22</v>
      </c>
      <c r="B32" t="s">
        <v>887</v>
      </c>
      <c r="D32" s="59"/>
      <c r="F32" s="59"/>
      <c r="G32" s="59"/>
      <c r="H32" s="59"/>
      <c r="I32" s="59"/>
      <c r="J32" s="59"/>
      <c r="K32" s="59"/>
      <c r="L32" s="59"/>
      <c r="M32" s="59"/>
      <c r="N32" s="59"/>
      <c r="O32" s="59"/>
      <c r="P32" s="59"/>
      <c r="Q32" s="149">
        <f t="shared" si="0"/>
        <v>0</v>
      </c>
    </row>
    <row r="33" spans="1:17" x14ac:dyDescent="0.3">
      <c r="A33" s="3">
        <v>23</v>
      </c>
      <c r="B33" t="s">
        <v>737</v>
      </c>
      <c r="D33" s="59"/>
      <c r="F33" s="59"/>
      <c r="G33" s="59"/>
      <c r="H33" s="59"/>
      <c r="I33" s="59"/>
      <c r="J33" s="59"/>
      <c r="K33" s="59"/>
      <c r="L33" s="59"/>
      <c r="M33" s="59"/>
      <c r="N33" s="59"/>
      <c r="O33" s="59"/>
      <c r="P33" s="59"/>
      <c r="Q33" s="149">
        <f t="shared" si="0"/>
        <v>0</v>
      </c>
    </row>
    <row r="34" spans="1:17" x14ac:dyDescent="0.3">
      <c r="A34" s="3" t="s">
        <v>745</v>
      </c>
      <c r="B34" t="s">
        <v>739</v>
      </c>
      <c r="D34" s="59"/>
      <c r="F34" s="59"/>
      <c r="G34" s="59"/>
      <c r="H34" s="59"/>
      <c r="I34" s="59"/>
      <c r="J34" s="59"/>
      <c r="K34" s="59"/>
      <c r="L34" s="59"/>
      <c r="M34" s="59"/>
      <c r="N34" s="59"/>
      <c r="O34" s="59"/>
      <c r="P34" s="59"/>
      <c r="Q34" s="149">
        <f t="shared" si="0"/>
        <v>0</v>
      </c>
    </row>
    <row r="35" spans="1:17" x14ac:dyDescent="0.3">
      <c r="A35" s="3" t="s">
        <v>747</v>
      </c>
      <c r="B35" t="s">
        <v>741</v>
      </c>
      <c r="D35" s="59"/>
      <c r="F35" s="59"/>
      <c r="G35" s="59"/>
      <c r="H35" s="59"/>
      <c r="I35" s="59"/>
      <c r="J35" s="59"/>
      <c r="K35" s="59"/>
      <c r="L35" s="59"/>
      <c r="M35" s="59"/>
      <c r="N35" s="59"/>
      <c r="O35" s="59"/>
      <c r="P35" s="59"/>
      <c r="Q35" s="149">
        <f t="shared" si="0"/>
        <v>0</v>
      </c>
    </row>
    <row r="36" spans="1:17" x14ac:dyDescent="0.3">
      <c r="A36" s="3">
        <v>25</v>
      </c>
      <c r="B36" t="s">
        <v>742</v>
      </c>
      <c r="D36" s="59"/>
      <c r="F36" s="59"/>
      <c r="G36" s="59"/>
      <c r="H36" s="59"/>
      <c r="I36" s="59"/>
      <c r="J36" s="59"/>
      <c r="K36" s="59"/>
      <c r="L36" s="59"/>
      <c r="M36" s="59"/>
      <c r="N36" s="59"/>
      <c r="O36" s="59"/>
      <c r="P36" s="59"/>
      <c r="Q36" s="149">
        <f t="shared" si="0"/>
        <v>0</v>
      </c>
    </row>
    <row r="37" spans="1:17" x14ac:dyDescent="0.3">
      <c r="A37" s="3">
        <v>26</v>
      </c>
      <c r="B37" t="s">
        <v>888</v>
      </c>
      <c r="D37" s="59"/>
      <c r="F37" s="59"/>
      <c r="G37" s="59"/>
      <c r="H37" s="59"/>
      <c r="I37" s="59"/>
      <c r="J37" s="59"/>
      <c r="K37" s="59"/>
      <c r="L37" s="59"/>
      <c r="M37" s="59"/>
      <c r="N37" s="59"/>
      <c r="O37" s="59"/>
      <c r="P37" s="59"/>
      <c r="Q37" s="149"/>
    </row>
    <row r="38" spans="1:17" x14ac:dyDescent="0.3">
      <c r="A38" s="3">
        <v>27</v>
      </c>
      <c r="B38" t="s">
        <v>889</v>
      </c>
      <c r="D38" s="59"/>
      <c r="F38" s="59"/>
      <c r="G38" s="59"/>
      <c r="H38" s="59"/>
      <c r="I38" s="59"/>
      <c r="J38" s="59"/>
      <c r="K38" s="59"/>
      <c r="L38" s="59"/>
      <c r="M38" s="59"/>
      <c r="N38" s="59"/>
      <c r="O38" s="59"/>
      <c r="P38" s="59"/>
      <c r="Q38" s="149"/>
    </row>
    <row r="39" spans="1:17" x14ac:dyDescent="0.3">
      <c r="A39" s="3">
        <v>28</v>
      </c>
      <c r="B39" t="s">
        <v>743</v>
      </c>
      <c r="D39" s="59"/>
      <c r="F39" s="59"/>
      <c r="G39" s="59"/>
      <c r="H39" s="59"/>
      <c r="I39" s="59"/>
      <c r="J39" s="59"/>
      <c r="K39" s="59"/>
      <c r="L39" s="59"/>
      <c r="M39" s="59"/>
      <c r="N39" s="59"/>
      <c r="O39" s="59"/>
      <c r="P39" s="59"/>
      <c r="Q39" s="149">
        <f t="shared" si="0"/>
        <v>0</v>
      </c>
    </row>
    <row r="40" spans="1:17" x14ac:dyDescent="0.3">
      <c r="A40" s="3">
        <v>29</v>
      </c>
      <c r="B40" t="s">
        <v>795</v>
      </c>
      <c r="D40" s="59"/>
      <c r="F40" s="59"/>
      <c r="G40" s="59"/>
      <c r="H40" s="59"/>
      <c r="I40" s="59"/>
      <c r="J40" s="59"/>
      <c r="K40" s="59"/>
      <c r="L40" s="59"/>
      <c r="M40" s="59"/>
      <c r="N40" s="59"/>
      <c r="O40" s="59"/>
      <c r="P40" s="59"/>
      <c r="Q40" s="149">
        <f t="shared" si="0"/>
        <v>0</v>
      </c>
    </row>
    <row r="41" spans="1:17" x14ac:dyDescent="0.3">
      <c r="A41" s="3">
        <v>30</v>
      </c>
      <c r="B41" t="s">
        <v>749</v>
      </c>
      <c r="D41" s="59"/>
      <c r="F41" s="59"/>
      <c r="G41" s="59"/>
      <c r="H41" s="59"/>
      <c r="I41" s="59"/>
      <c r="J41" s="59"/>
      <c r="K41" s="59"/>
      <c r="L41" s="59"/>
      <c r="M41" s="59"/>
      <c r="N41" s="59"/>
      <c r="O41" s="59"/>
      <c r="P41" s="59"/>
      <c r="Q41" s="149">
        <f t="shared" si="0"/>
        <v>0</v>
      </c>
    </row>
    <row r="42" spans="1:17" x14ac:dyDescent="0.3">
      <c r="A42" s="3">
        <v>31</v>
      </c>
      <c r="B42" t="s">
        <v>890</v>
      </c>
      <c r="D42" s="59"/>
      <c r="F42" s="59"/>
      <c r="G42" s="59"/>
      <c r="H42" s="59"/>
      <c r="I42" s="59"/>
      <c r="J42" s="59"/>
      <c r="K42" s="59"/>
      <c r="L42" s="59"/>
      <c r="M42" s="59"/>
      <c r="N42" s="59"/>
      <c r="O42" s="59"/>
      <c r="P42" s="59"/>
      <c r="Q42" s="149">
        <f t="shared" si="0"/>
        <v>0</v>
      </c>
    </row>
    <row r="43" spans="1:17" x14ac:dyDescent="0.3">
      <c r="A43" s="3">
        <v>32</v>
      </c>
      <c r="B43" t="s">
        <v>752</v>
      </c>
      <c r="D43" s="59"/>
      <c r="F43" s="59"/>
      <c r="G43" s="59"/>
      <c r="H43" s="59"/>
      <c r="I43" s="59"/>
      <c r="J43" s="59"/>
      <c r="K43" s="59"/>
      <c r="L43" s="59"/>
      <c r="M43" s="59"/>
      <c r="N43" s="59"/>
      <c r="O43" s="59"/>
      <c r="P43" s="59"/>
      <c r="Q43" s="149">
        <f t="shared" si="0"/>
        <v>0</v>
      </c>
    </row>
    <row r="44" spans="1:17" x14ac:dyDescent="0.3">
      <c r="A44" s="3"/>
      <c r="C44" s="59"/>
      <c r="D44" s="59"/>
      <c r="F44" s="59"/>
      <c r="G44" s="59"/>
      <c r="H44" s="59"/>
      <c r="I44" s="59"/>
      <c r="J44" s="59"/>
      <c r="K44" s="59"/>
      <c r="L44" s="59"/>
      <c r="M44" s="59"/>
      <c r="N44" s="59"/>
      <c r="O44" s="59"/>
      <c r="P44" s="59"/>
      <c r="Q44" s="149">
        <f t="shared" si="0"/>
        <v>0</v>
      </c>
    </row>
    <row r="45" spans="1:17" x14ac:dyDescent="0.3">
      <c r="C45" s="59"/>
      <c r="D45" s="59"/>
      <c r="F45" s="59"/>
      <c r="G45" s="59"/>
      <c r="H45" s="59"/>
      <c r="I45" s="59"/>
      <c r="J45" s="59"/>
      <c r="K45" s="59"/>
      <c r="L45" s="59"/>
      <c r="M45" s="59"/>
      <c r="N45" s="59"/>
      <c r="O45" s="59"/>
      <c r="P45" s="59"/>
      <c r="Q45" s="149">
        <f t="shared" si="0"/>
        <v>0</v>
      </c>
    </row>
    <row r="46" spans="1:17" x14ac:dyDescent="0.3">
      <c r="C46" s="59"/>
      <c r="D46" s="59"/>
      <c r="F46" s="59"/>
      <c r="G46" s="59"/>
      <c r="H46" s="59"/>
      <c r="I46" s="59"/>
      <c r="J46" s="59"/>
      <c r="K46" s="59"/>
      <c r="L46" s="59"/>
      <c r="M46" s="59"/>
      <c r="N46" s="59"/>
      <c r="O46" s="59"/>
      <c r="P46" s="59"/>
      <c r="Q46" s="149">
        <f t="shared" si="0"/>
        <v>0</v>
      </c>
    </row>
    <row r="47" spans="1:17" x14ac:dyDescent="0.3">
      <c r="C47" s="59"/>
      <c r="D47" s="59"/>
      <c r="F47" s="59"/>
      <c r="G47" s="59"/>
      <c r="H47" s="59"/>
      <c r="I47" s="59"/>
      <c r="J47" s="59"/>
      <c r="K47" s="59"/>
      <c r="L47" s="59"/>
      <c r="M47" s="59"/>
      <c r="N47" s="59"/>
      <c r="O47" s="59"/>
      <c r="P47" s="59"/>
      <c r="Q47" s="149">
        <f t="shared" si="0"/>
        <v>0</v>
      </c>
    </row>
    <row r="48" spans="1:17" x14ac:dyDescent="0.3">
      <c r="C48" s="59"/>
      <c r="D48" s="59"/>
      <c r="F48" s="59"/>
      <c r="G48" s="59"/>
      <c r="H48" s="59"/>
      <c r="I48" s="59"/>
      <c r="J48" s="59"/>
      <c r="K48" s="59"/>
      <c r="L48" s="59"/>
      <c r="M48" s="59"/>
      <c r="N48" s="59"/>
      <c r="O48" s="59"/>
      <c r="P48" s="59"/>
      <c r="Q48" s="149">
        <f t="shared" si="0"/>
        <v>0</v>
      </c>
    </row>
    <row r="49" spans="1:17" x14ac:dyDescent="0.3">
      <c r="C49" s="59"/>
      <c r="D49" s="59"/>
      <c r="F49" s="59"/>
      <c r="G49" s="59"/>
      <c r="H49" s="59"/>
      <c r="I49" s="59"/>
      <c r="J49" s="59"/>
      <c r="K49" s="59"/>
      <c r="L49" s="59"/>
      <c r="M49" s="59"/>
      <c r="N49" s="59"/>
      <c r="O49" s="59"/>
      <c r="P49" s="59"/>
      <c r="Q49" s="149">
        <f t="shared" si="0"/>
        <v>0</v>
      </c>
    </row>
    <row r="50" spans="1:17" x14ac:dyDescent="0.3">
      <c r="C50" s="59"/>
      <c r="D50" s="59"/>
      <c r="F50" s="59"/>
      <c r="G50" s="59"/>
      <c r="H50" s="59"/>
      <c r="I50" s="59"/>
      <c r="J50" s="59"/>
      <c r="K50" s="59"/>
      <c r="L50" s="59"/>
      <c r="M50" s="59"/>
      <c r="N50" s="59"/>
      <c r="O50" s="59"/>
      <c r="P50" s="59"/>
      <c r="Q50" s="149">
        <f t="shared" si="0"/>
        <v>0</v>
      </c>
    </row>
    <row r="51" spans="1:17" x14ac:dyDescent="0.3">
      <c r="C51" s="59"/>
      <c r="D51" s="59"/>
      <c r="F51" s="59"/>
      <c r="G51" s="59"/>
      <c r="H51" s="59"/>
      <c r="I51" s="59"/>
      <c r="J51" s="59"/>
      <c r="K51" s="59"/>
      <c r="L51" s="59"/>
      <c r="M51" s="59"/>
      <c r="N51" s="59"/>
      <c r="O51" s="59"/>
      <c r="P51" s="59"/>
      <c r="Q51" s="149">
        <f t="shared" si="0"/>
        <v>0</v>
      </c>
    </row>
    <row r="52" spans="1:17" x14ac:dyDescent="0.3">
      <c r="C52" s="59"/>
      <c r="D52" s="59"/>
      <c r="F52" s="59"/>
      <c r="G52" s="59"/>
      <c r="H52" s="59"/>
      <c r="I52" s="59"/>
      <c r="J52" s="59"/>
      <c r="K52" s="59"/>
      <c r="L52" s="59"/>
      <c r="M52" s="59"/>
      <c r="N52" s="59"/>
      <c r="O52" s="59"/>
      <c r="P52" s="59"/>
      <c r="Q52" s="149">
        <f t="shared" si="0"/>
        <v>0</v>
      </c>
    </row>
    <row r="53" spans="1:17" x14ac:dyDescent="0.3">
      <c r="C53" s="59"/>
      <c r="D53" s="59"/>
      <c r="F53" s="59"/>
      <c r="G53" s="59"/>
      <c r="H53" s="59"/>
      <c r="I53" s="59"/>
      <c r="J53" s="59"/>
      <c r="K53" s="59"/>
      <c r="L53" s="59"/>
      <c r="M53" s="59"/>
      <c r="N53" s="59"/>
      <c r="O53" s="59"/>
      <c r="P53" s="59"/>
      <c r="Q53" s="149">
        <f t="shared" si="0"/>
        <v>0</v>
      </c>
    </row>
    <row r="54" spans="1:17" x14ac:dyDescent="0.3">
      <c r="C54" s="59"/>
      <c r="D54" s="59"/>
      <c r="F54" s="59"/>
      <c r="G54" s="59"/>
      <c r="H54" s="59"/>
      <c r="I54" s="59"/>
      <c r="J54" s="59"/>
      <c r="K54" s="59"/>
      <c r="L54" s="59"/>
      <c r="M54" s="59"/>
      <c r="N54" s="59"/>
      <c r="O54" s="59"/>
      <c r="P54" s="59"/>
      <c r="Q54" s="149">
        <f t="shared" si="0"/>
        <v>0</v>
      </c>
    </row>
    <row r="55" spans="1:17" x14ac:dyDescent="0.3">
      <c r="C55" s="59"/>
      <c r="D55" s="59"/>
      <c r="F55" s="59"/>
      <c r="G55" s="59"/>
      <c r="H55" s="59"/>
      <c r="I55" s="59"/>
      <c r="J55" s="59"/>
      <c r="K55" s="59"/>
      <c r="L55" s="59"/>
      <c r="M55" s="59"/>
      <c r="N55" s="59"/>
      <c r="O55" s="59"/>
      <c r="P55" s="59"/>
      <c r="Q55" s="149">
        <f t="shared" si="0"/>
        <v>0</v>
      </c>
    </row>
    <row r="56" spans="1:17" x14ac:dyDescent="0.3">
      <c r="C56" s="59"/>
      <c r="D56" s="59"/>
      <c r="F56" s="59"/>
      <c r="G56" s="59"/>
      <c r="H56" s="59"/>
      <c r="I56" s="59"/>
      <c r="J56" s="59"/>
      <c r="K56" s="59"/>
      <c r="L56" s="59"/>
      <c r="M56" s="59"/>
      <c r="N56" s="59"/>
      <c r="O56" s="59"/>
      <c r="P56" s="59"/>
      <c r="Q56" s="149">
        <f t="shared" si="0"/>
        <v>0</v>
      </c>
    </row>
    <row r="57" spans="1:17" x14ac:dyDescent="0.3">
      <c r="C57" s="59"/>
      <c r="D57" s="59"/>
      <c r="F57" s="59"/>
      <c r="G57" s="59"/>
      <c r="H57" s="59"/>
      <c r="I57" s="59"/>
      <c r="J57" s="59"/>
      <c r="K57" s="59"/>
      <c r="L57" s="59"/>
      <c r="M57" s="59"/>
      <c r="N57" s="59"/>
      <c r="O57" s="59"/>
      <c r="P57" s="59"/>
      <c r="Q57" s="149">
        <f t="shared" si="0"/>
        <v>0</v>
      </c>
    </row>
    <row r="58" spans="1:17" x14ac:dyDescent="0.3">
      <c r="C58" s="59"/>
      <c r="D58" s="59"/>
      <c r="F58" s="59"/>
      <c r="G58" s="59"/>
      <c r="H58" s="59"/>
      <c r="I58" s="59"/>
      <c r="J58" s="59"/>
      <c r="K58" s="59"/>
      <c r="L58" s="59"/>
      <c r="M58" s="59"/>
      <c r="N58" s="59"/>
      <c r="O58" s="59"/>
      <c r="P58" s="59"/>
      <c r="Q58" s="149">
        <f t="shared" si="0"/>
        <v>0</v>
      </c>
    </row>
    <row r="60" spans="1:17" x14ac:dyDescent="0.3">
      <c r="A60">
        <v>34</v>
      </c>
      <c r="B60" s="91" t="s">
        <v>756</v>
      </c>
      <c r="D60" s="150">
        <f>SUM(D4:D58)</f>
        <v>0</v>
      </c>
      <c r="E60" s="116"/>
      <c r="F60" s="149">
        <f t="shared" ref="F60:Q60" si="1">SUM(F4:F58)</f>
        <v>0</v>
      </c>
      <c r="G60" s="149">
        <f t="shared" si="1"/>
        <v>0</v>
      </c>
      <c r="H60" s="149">
        <f t="shared" si="1"/>
        <v>0</v>
      </c>
      <c r="I60" s="149">
        <f t="shared" si="1"/>
        <v>0</v>
      </c>
      <c r="J60" s="149">
        <f t="shared" si="1"/>
        <v>0</v>
      </c>
      <c r="K60" s="149">
        <f t="shared" si="1"/>
        <v>0</v>
      </c>
      <c r="L60" s="149">
        <f t="shared" si="1"/>
        <v>0</v>
      </c>
      <c r="M60" s="149">
        <f t="shared" si="1"/>
        <v>0</v>
      </c>
      <c r="N60" s="149">
        <f t="shared" si="1"/>
        <v>0</v>
      </c>
      <c r="O60" s="149">
        <f t="shared" si="1"/>
        <v>0</v>
      </c>
      <c r="P60" s="149">
        <f t="shared" si="1"/>
        <v>0</v>
      </c>
      <c r="Q60" s="150">
        <f t="shared" si="1"/>
        <v>0</v>
      </c>
    </row>
    <row r="64" spans="1:17" x14ac:dyDescent="0.3">
      <c r="A64" s="34" t="s">
        <v>757</v>
      </c>
      <c r="B64" s="91" t="s">
        <v>758</v>
      </c>
      <c r="C64" s="91" t="s">
        <v>759</v>
      </c>
    </row>
    <row r="65" spans="1:1" x14ac:dyDescent="0.3">
      <c r="A65" s="4">
        <v>1</v>
      </c>
    </row>
    <row r="66" spans="1:1" x14ac:dyDescent="0.3">
      <c r="A66" s="4">
        <v>2</v>
      </c>
    </row>
    <row r="67" spans="1:1" x14ac:dyDescent="0.3">
      <c r="A67" s="4">
        <v>3</v>
      </c>
    </row>
    <row r="68" spans="1:1" x14ac:dyDescent="0.3">
      <c r="A68" s="4">
        <v>4</v>
      </c>
    </row>
    <row r="69" spans="1:1" x14ac:dyDescent="0.3">
      <c r="A69" s="4">
        <v>5</v>
      </c>
    </row>
    <row r="70" spans="1:1" x14ac:dyDescent="0.3">
      <c r="A70" s="4">
        <v>6</v>
      </c>
    </row>
    <row r="71" spans="1:1" x14ac:dyDescent="0.3">
      <c r="A71" s="4">
        <v>7</v>
      </c>
    </row>
    <row r="72" spans="1:1" x14ac:dyDescent="0.3">
      <c r="A72" s="4">
        <v>8</v>
      </c>
    </row>
    <row r="73" spans="1:1" x14ac:dyDescent="0.3">
      <c r="A73" s="4">
        <v>9</v>
      </c>
    </row>
    <row r="74" spans="1:1" x14ac:dyDescent="0.3">
      <c r="A74" s="4">
        <v>10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0000000}">
          <x14:formula1>
            <xm:f>Lists!$A$1:$A$3</xm:f>
          </x14:formula1>
          <xm:sqref>A1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Q74"/>
  <sheetViews>
    <sheetView workbookViewId="0">
      <selection activeCell="C4" sqref="C4"/>
    </sheetView>
  </sheetViews>
  <sheetFormatPr defaultColWidth="8.88671875" defaultRowHeight="14.4" x14ac:dyDescent="0.3"/>
  <cols>
    <col min="1" max="1" width="6.6640625" customWidth="1"/>
    <col min="2" max="2" width="7.6640625" customWidth="1"/>
    <col min="3" max="3" width="51.33203125" customWidth="1"/>
    <col min="4" max="4" width="10.5546875" bestFit="1" customWidth="1"/>
    <col min="5" max="5" width="2.33203125" customWidth="1"/>
  </cols>
  <sheetData>
    <row r="1" spans="1:17" x14ac:dyDescent="0.3">
      <c r="A1" s="81"/>
      <c r="B1" s="91" t="s">
        <v>543</v>
      </c>
    </row>
    <row r="2" spans="1:17" x14ac:dyDescent="0.3">
      <c r="A2" s="151" t="s">
        <v>83</v>
      </c>
      <c r="C2" s="59"/>
    </row>
    <row r="3" spans="1:17" s="91" customFormat="1" x14ac:dyDescent="0.3">
      <c r="A3" s="91" t="s">
        <v>701</v>
      </c>
      <c r="B3" s="91" t="s">
        <v>62</v>
      </c>
      <c r="D3" s="91" t="s">
        <v>702</v>
      </c>
      <c r="F3" s="34" t="s">
        <v>703</v>
      </c>
      <c r="G3" s="34" t="s">
        <v>704</v>
      </c>
      <c r="H3" s="34" t="s">
        <v>705</v>
      </c>
      <c r="I3" s="34" t="s">
        <v>706</v>
      </c>
      <c r="J3" s="34" t="s">
        <v>707</v>
      </c>
      <c r="K3" s="34" t="s">
        <v>708</v>
      </c>
      <c r="L3" s="34" t="s">
        <v>709</v>
      </c>
      <c r="M3" s="34" t="s">
        <v>710</v>
      </c>
      <c r="N3" s="34" t="s">
        <v>711</v>
      </c>
      <c r="O3" s="34" t="s">
        <v>712</v>
      </c>
      <c r="P3" s="34" t="s">
        <v>713</v>
      </c>
      <c r="Q3" s="34" t="s">
        <v>714</v>
      </c>
    </row>
    <row r="4" spans="1:17" x14ac:dyDescent="0.3">
      <c r="A4" s="3" t="s">
        <v>65</v>
      </c>
      <c r="B4" t="s">
        <v>865</v>
      </c>
      <c r="D4" s="59"/>
      <c r="F4" s="59"/>
      <c r="G4" s="59"/>
      <c r="H4" s="59"/>
      <c r="I4" s="59"/>
      <c r="J4" s="59"/>
      <c r="K4" s="59"/>
      <c r="L4" s="59"/>
      <c r="M4" s="59"/>
      <c r="N4" s="59"/>
      <c r="O4" s="59"/>
      <c r="P4" s="59"/>
      <c r="Q4" s="149">
        <f>SUM(F4:P4)</f>
        <v>0</v>
      </c>
    </row>
    <row r="5" spans="1:17" x14ac:dyDescent="0.3">
      <c r="A5" s="3" t="s">
        <v>866</v>
      </c>
      <c r="B5" t="s">
        <v>867</v>
      </c>
      <c r="D5" s="59"/>
      <c r="F5" s="59"/>
      <c r="G5" s="59"/>
      <c r="H5" s="59"/>
      <c r="I5" s="59"/>
      <c r="J5" s="59"/>
      <c r="K5" s="59"/>
      <c r="L5" s="59"/>
      <c r="M5" s="59"/>
      <c r="N5" s="59"/>
      <c r="O5" s="59"/>
      <c r="P5" s="59"/>
      <c r="Q5" s="149"/>
    </row>
    <row r="6" spans="1:17" x14ac:dyDescent="0.3">
      <c r="A6" s="3">
        <v>2</v>
      </c>
      <c r="B6" t="s">
        <v>868</v>
      </c>
      <c r="D6" s="59"/>
      <c r="F6" s="59"/>
      <c r="G6" s="59"/>
      <c r="H6" s="59"/>
      <c r="I6" s="59"/>
      <c r="J6" s="59"/>
      <c r="K6" s="59"/>
      <c r="L6" s="59"/>
      <c r="M6" s="59"/>
      <c r="N6" s="59"/>
      <c r="O6" s="59"/>
      <c r="P6" s="59"/>
      <c r="Q6" s="149">
        <f t="shared" ref="Q6:Q58" si="0">SUM(F6:P6)</f>
        <v>0</v>
      </c>
    </row>
    <row r="7" spans="1:17" x14ac:dyDescent="0.3">
      <c r="A7" s="3" t="s">
        <v>69</v>
      </c>
      <c r="B7" t="s">
        <v>869</v>
      </c>
      <c r="D7" s="59"/>
      <c r="F7" s="59"/>
      <c r="G7" s="59"/>
      <c r="H7" s="59"/>
      <c r="I7" s="59"/>
      <c r="J7" s="59"/>
      <c r="K7" s="59"/>
      <c r="L7" s="59"/>
      <c r="M7" s="59"/>
      <c r="N7" s="59"/>
      <c r="O7" s="59"/>
      <c r="P7" s="59"/>
      <c r="Q7" s="149">
        <f t="shared" si="0"/>
        <v>0</v>
      </c>
    </row>
    <row r="8" spans="1:17" x14ac:dyDescent="0.3">
      <c r="A8" s="3" t="s">
        <v>71</v>
      </c>
      <c r="B8" t="s">
        <v>870</v>
      </c>
      <c r="D8" s="59"/>
      <c r="F8" s="59"/>
      <c r="G8" s="59"/>
      <c r="H8" s="59"/>
      <c r="I8" s="59"/>
      <c r="J8" s="59"/>
      <c r="K8" s="59"/>
      <c r="L8" s="59"/>
      <c r="M8" s="59"/>
      <c r="N8" s="59"/>
      <c r="O8" s="59"/>
      <c r="P8" s="59"/>
      <c r="Q8" s="149">
        <f t="shared" si="0"/>
        <v>0</v>
      </c>
    </row>
    <row r="9" spans="1:17" x14ac:dyDescent="0.3">
      <c r="A9" s="3" t="s">
        <v>871</v>
      </c>
      <c r="B9" t="s">
        <v>872</v>
      </c>
      <c r="D9" s="59"/>
      <c r="F9" s="59"/>
      <c r="G9" s="59"/>
      <c r="H9" s="59"/>
      <c r="I9" s="59"/>
      <c r="J9" s="59"/>
      <c r="K9" s="59"/>
      <c r="L9" s="59"/>
      <c r="M9" s="59"/>
      <c r="N9" s="59"/>
      <c r="O9" s="59"/>
      <c r="P9" s="59"/>
      <c r="Q9" s="149">
        <f t="shared" si="0"/>
        <v>0</v>
      </c>
    </row>
    <row r="10" spans="1:17" x14ac:dyDescent="0.3">
      <c r="A10" s="3" t="s">
        <v>75</v>
      </c>
      <c r="B10" t="s">
        <v>873</v>
      </c>
      <c r="D10" s="59"/>
      <c r="F10" s="59"/>
      <c r="G10" s="59"/>
      <c r="H10" s="59"/>
      <c r="I10" s="59"/>
      <c r="J10" s="59"/>
      <c r="K10" s="59"/>
      <c r="L10" s="59"/>
      <c r="M10" s="59"/>
      <c r="N10" s="59"/>
      <c r="O10" s="59"/>
      <c r="P10" s="59"/>
      <c r="Q10" s="149">
        <f t="shared" si="0"/>
        <v>0</v>
      </c>
    </row>
    <row r="11" spans="1:17" x14ac:dyDescent="0.3">
      <c r="A11" s="3" t="s">
        <v>874</v>
      </c>
      <c r="B11" t="s">
        <v>875</v>
      </c>
      <c r="D11" s="59"/>
      <c r="F11" s="59"/>
      <c r="G11" s="59"/>
      <c r="H11" s="59"/>
      <c r="I11" s="59"/>
      <c r="J11" s="59"/>
      <c r="K11" s="59"/>
      <c r="L11" s="59"/>
      <c r="M11" s="59"/>
      <c r="N11" s="59"/>
      <c r="O11" s="59"/>
      <c r="P11" s="59"/>
      <c r="Q11" s="149"/>
    </row>
    <row r="12" spans="1:17" x14ac:dyDescent="0.3">
      <c r="A12" s="3">
        <v>7</v>
      </c>
      <c r="B12" t="s">
        <v>876</v>
      </c>
      <c r="D12" s="59"/>
      <c r="F12" s="59"/>
      <c r="G12" s="59"/>
      <c r="H12" s="59"/>
      <c r="I12" s="59"/>
      <c r="J12" s="59"/>
      <c r="K12" s="59"/>
      <c r="L12" s="59"/>
      <c r="M12" s="59"/>
      <c r="N12" s="59"/>
      <c r="O12" s="59"/>
      <c r="P12" s="59"/>
      <c r="Q12" s="149">
        <f t="shared" si="0"/>
        <v>0</v>
      </c>
    </row>
    <row r="13" spans="1:17" x14ac:dyDescent="0.3">
      <c r="A13" s="3">
        <v>8</v>
      </c>
      <c r="B13" t="s">
        <v>877</v>
      </c>
      <c r="D13" s="59"/>
      <c r="F13" s="59"/>
      <c r="G13" s="59"/>
      <c r="H13" s="59"/>
      <c r="I13" s="59"/>
      <c r="J13" s="59"/>
      <c r="K13" s="59"/>
      <c r="L13" s="59"/>
      <c r="M13" s="59"/>
      <c r="N13" s="59"/>
      <c r="O13" s="59"/>
      <c r="P13" s="59"/>
      <c r="Q13" s="149">
        <f t="shared" si="0"/>
        <v>0</v>
      </c>
    </row>
    <row r="14" spans="1:17" x14ac:dyDescent="0.3">
      <c r="A14" s="3"/>
      <c r="C14" s="59"/>
      <c r="D14" s="59"/>
      <c r="F14" s="59"/>
      <c r="G14" s="59"/>
      <c r="H14" s="59"/>
      <c r="I14" s="59"/>
      <c r="J14" s="59"/>
      <c r="K14" s="59"/>
      <c r="L14" s="59"/>
      <c r="M14" s="59"/>
      <c r="N14" s="59"/>
      <c r="O14" s="59"/>
      <c r="P14" s="59"/>
      <c r="Q14" s="149">
        <f t="shared" si="0"/>
        <v>0</v>
      </c>
    </row>
    <row r="15" spans="1:17" x14ac:dyDescent="0.3">
      <c r="A15" s="3"/>
      <c r="C15" s="59"/>
      <c r="D15" s="59"/>
      <c r="F15" s="59"/>
      <c r="G15" s="59"/>
      <c r="H15" s="59"/>
      <c r="I15" s="59"/>
      <c r="J15" s="59"/>
      <c r="K15" s="59"/>
      <c r="L15" s="59"/>
      <c r="M15" s="59"/>
      <c r="N15" s="59"/>
      <c r="O15" s="59"/>
      <c r="P15" s="59"/>
      <c r="Q15" s="149"/>
    </row>
    <row r="16" spans="1:17" x14ac:dyDescent="0.3">
      <c r="A16" s="3"/>
      <c r="C16" s="59"/>
      <c r="D16" s="59"/>
      <c r="F16" s="59"/>
      <c r="G16" s="59"/>
      <c r="H16" s="59"/>
      <c r="I16" s="59"/>
      <c r="J16" s="59"/>
      <c r="K16" s="59"/>
      <c r="L16" s="59"/>
      <c r="M16" s="59"/>
      <c r="N16" s="59"/>
      <c r="O16" s="59"/>
      <c r="P16" s="59"/>
      <c r="Q16" s="149"/>
    </row>
    <row r="17" spans="1:17" x14ac:dyDescent="0.3">
      <c r="A17" s="3"/>
      <c r="C17" s="59"/>
      <c r="D17" s="59"/>
      <c r="F17" s="59"/>
      <c r="G17" s="59"/>
      <c r="H17" s="59"/>
      <c r="I17" s="59"/>
      <c r="J17" s="59"/>
      <c r="K17" s="59"/>
      <c r="L17" s="59"/>
      <c r="M17" s="59"/>
      <c r="N17" s="59"/>
      <c r="O17" s="59"/>
      <c r="P17" s="59"/>
      <c r="Q17" s="149"/>
    </row>
    <row r="18" spans="1:17" x14ac:dyDescent="0.3">
      <c r="A18" s="3"/>
      <c r="C18" s="59"/>
      <c r="D18" s="59"/>
      <c r="F18" s="59"/>
      <c r="G18" s="59"/>
      <c r="H18" s="59"/>
      <c r="I18" s="59"/>
      <c r="J18" s="59"/>
      <c r="K18" s="59"/>
      <c r="L18" s="59"/>
      <c r="M18" s="59"/>
      <c r="N18" s="59"/>
      <c r="O18" s="59"/>
      <c r="P18" s="59"/>
      <c r="Q18" s="149"/>
    </row>
    <row r="19" spans="1:17" x14ac:dyDescent="0.3">
      <c r="A19" s="3">
        <v>10</v>
      </c>
      <c r="B19" t="s">
        <v>726</v>
      </c>
      <c r="D19" s="59"/>
      <c r="F19" s="59"/>
      <c r="G19" s="59"/>
      <c r="H19" s="59"/>
      <c r="I19" s="59"/>
      <c r="J19" s="59"/>
      <c r="K19" s="59"/>
      <c r="L19" s="59"/>
      <c r="M19" s="59"/>
      <c r="N19" s="59"/>
      <c r="O19" s="59"/>
      <c r="P19" s="59"/>
      <c r="Q19" s="149">
        <f t="shared" si="0"/>
        <v>0</v>
      </c>
    </row>
    <row r="20" spans="1:17" x14ac:dyDescent="0.3">
      <c r="A20" s="3">
        <v>11</v>
      </c>
      <c r="B20" t="s">
        <v>878</v>
      </c>
      <c r="D20" s="59"/>
      <c r="F20" s="59"/>
      <c r="G20" s="59"/>
      <c r="H20" s="59"/>
      <c r="I20" s="59"/>
      <c r="J20" s="59"/>
      <c r="K20" s="59"/>
      <c r="L20" s="59"/>
      <c r="M20" s="59"/>
      <c r="N20" s="59"/>
      <c r="O20" s="59"/>
      <c r="P20" s="59"/>
      <c r="Q20" s="149"/>
    </row>
    <row r="21" spans="1:17" x14ac:dyDescent="0.3">
      <c r="A21" s="3">
        <v>12</v>
      </c>
      <c r="B21" t="s">
        <v>879</v>
      </c>
      <c r="D21" s="59"/>
      <c r="F21" s="59"/>
      <c r="G21" s="59"/>
      <c r="H21" s="59"/>
      <c r="I21" s="59"/>
      <c r="J21" s="59"/>
      <c r="K21" s="59"/>
      <c r="L21" s="59"/>
      <c r="M21" s="59"/>
      <c r="N21" s="59"/>
      <c r="O21" s="59"/>
      <c r="P21" s="59"/>
      <c r="Q21" s="149"/>
    </row>
    <row r="22" spans="1:17" x14ac:dyDescent="0.3">
      <c r="A22" s="3">
        <v>13</v>
      </c>
      <c r="B22" t="s">
        <v>880</v>
      </c>
      <c r="D22" s="59"/>
      <c r="F22" s="59"/>
      <c r="G22" s="59"/>
      <c r="H22" s="59"/>
      <c r="I22" s="59"/>
      <c r="J22" s="59"/>
      <c r="K22" s="59"/>
      <c r="L22" s="59"/>
      <c r="M22" s="59"/>
      <c r="N22" s="59"/>
      <c r="O22" s="59"/>
      <c r="P22" s="59"/>
      <c r="Q22" s="149">
        <f t="shared" si="0"/>
        <v>0</v>
      </c>
    </row>
    <row r="23" spans="1:17" x14ac:dyDescent="0.3">
      <c r="A23" s="3">
        <v>14</v>
      </c>
      <c r="B23" t="s">
        <v>730</v>
      </c>
      <c r="D23" s="59"/>
      <c r="F23" s="59"/>
      <c r="G23" s="59"/>
      <c r="H23" s="59"/>
      <c r="I23" s="59"/>
      <c r="J23" s="59"/>
      <c r="K23" s="59"/>
      <c r="L23" s="59"/>
      <c r="M23" s="59"/>
      <c r="N23" s="59"/>
      <c r="O23" s="59"/>
      <c r="P23" s="59"/>
      <c r="Q23" s="149">
        <f t="shared" si="0"/>
        <v>0</v>
      </c>
    </row>
    <row r="24" spans="1:17" x14ac:dyDescent="0.3">
      <c r="A24" s="3">
        <v>15</v>
      </c>
      <c r="B24" t="s">
        <v>731</v>
      </c>
      <c r="D24" s="59"/>
      <c r="F24" s="59"/>
      <c r="G24" s="59"/>
      <c r="H24" s="59"/>
      <c r="I24" s="59"/>
      <c r="J24" s="59"/>
      <c r="K24" s="59"/>
      <c r="L24" s="59"/>
      <c r="M24" s="59"/>
      <c r="N24" s="59"/>
      <c r="O24" s="59"/>
      <c r="P24" s="59"/>
      <c r="Q24" s="149">
        <f t="shared" si="0"/>
        <v>0</v>
      </c>
    </row>
    <row r="25" spans="1:17" x14ac:dyDescent="0.3">
      <c r="A25" s="3">
        <v>16</v>
      </c>
      <c r="B25" t="s">
        <v>881</v>
      </c>
      <c r="D25" s="59"/>
      <c r="F25" s="59"/>
      <c r="G25" s="59"/>
      <c r="H25" s="59"/>
      <c r="I25" s="59"/>
      <c r="J25" s="59"/>
      <c r="K25" s="59"/>
      <c r="L25" s="59"/>
      <c r="M25" s="59"/>
      <c r="N25" s="59"/>
      <c r="O25" s="59"/>
      <c r="P25" s="59"/>
      <c r="Q25" s="149"/>
    </row>
    <row r="26" spans="1:17" x14ac:dyDescent="0.3">
      <c r="A26" s="3">
        <v>17</v>
      </c>
      <c r="B26" t="s">
        <v>882</v>
      </c>
      <c r="D26" s="59"/>
      <c r="F26" s="59"/>
      <c r="G26" s="59"/>
      <c r="H26" s="59"/>
      <c r="I26" s="59"/>
      <c r="J26" s="59"/>
      <c r="K26" s="59"/>
      <c r="L26" s="59"/>
      <c r="M26" s="59"/>
      <c r="N26" s="59"/>
      <c r="O26" s="59"/>
      <c r="P26" s="59"/>
      <c r="Q26" s="149"/>
    </row>
    <row r="27" spans="1:17" x14ac:dyDescent="0.3">
      <c r="A27" s="3">
        <v>18</v>
      </c>
      <c r="B27" t="s">
        <v>883</v>
      </c>
      <c r="D27" s="59"/>
      <c r="F27" s="59"/>
      <c r="G27" s="59"/>
      <c r="H27" s="59"/>
      <c r="I27" s="59"/>
      <c r="J27" s="59"/>
      <c r="K27" s="59"/>
      <c r="L27" s="59"/>
      <c r="M27" s="59"/>
      <c r="N27" s="59"/>
      <c r="O27" s="59"/>
      <c r="P27" s="59"/>
      <c r="Q27" s="149"/>
    </row>
    <row r="28" spans="1:17" x14ac:dyDescent="0.3">
      <c r="A28" s="3">
        <v>19</v>
      </c>
      <c r="B28" t="s">
        <v>884</v>
      </c>
      <c r="D28" s="59"/>
      <c r="F28" s="59"/>
      <c r="G28" s="59"/>
      <c r="H28" s="59"/>
      <c r="I28" s="59"/>
      <c r="J28" s="59"/>
      <c r="K28" s="59"/>
      <c r="L28" s="59"/>
      <c r="M28" s="59"/>
      <c r="N28" s="59"/>
      <c r="O28" s="59"/>
      <c r="P28" s="59"/>
      <c r="Q28" s="149"/>
    </row>
    <row r="29" spans="1:17" x14ac:dyDescent="0.3">
      <c r="A29" s="3">
        <v>20</v>
      </c>
      <c r="B29" t="s">
        <v>732</v>
      </c>
      <c r="D29" s="59"/>
      <c r="F29" s="59"/>
      <c r="G29" s="59"/>
      <c r="H29" s="59"/>
      <c r="I29" s="59"/>
      <c r="J29" s="59"/>
      <c r="K29" s="59"/>
      <c r="L29" s="59"/>
      <c r="M29" s="59"/>
      <c r="N29" s="59"/>
      <c r="O29" s="59"/>
      <c r="P29" s="59"/>
      <c r="Q29" s="149">
        <f t="shared" si="0"/>
        <v>0</v>
      </c>
    </row>
    <row r="30" spans="1:17" x14ac:dyDescent="0.3">
      <c r="A30" s="3" t="s">
        <v>885</v>
      </c>
      <c r="B30" t="s">
        <v>733</v>
      </c>
      <c r="D30" s="59"/>
      <c r="F30" s="59"/>
      <c r="G30" s="59"/>
      <c r="H30" s="59"/>
      <c r="I30" s="59"/>
      <c r="J30" s="59"/>
      <c r="K30" s="59"/>
      <c r="L30" s="59"/>
      <c r="M30" s="59"/>
      <c r="N30" s="59"/>
      <c r="O30" s="59"/>
      <c r="P30" s="59"/>
      <c r="Q30" s="149">
        <f t="shared" si="0"/>
        <v>0</v>
      </c>
    </row>
    <row r="31" spans="1:17" x14ac:dyDescent="0.3">
      <c r="A31" s="3" t="s">
        <v>886</v>
      </c>
      <c r="B31" t="s">
        <v>734</v>
      </c>
      <c r="D31" s="59"/>
      <c r="F31" s="59"/>
      <c r="G31" s="59"/>
      <c r="H31" s="59"/>
      <c r="I31" s="59"/>
      <c r="J31" s="59"/>
      <c r="K31" s="59"/>
      <c r="L31" s="59"/>
      <c r="M31" s="59"/>
      <c r="N31" s="59"/>
      <c r="O31" s="59"/>
      <c r="P31" s="59"/>
      <c r="Q31" s="149">
        <f t="shared" si="0"/>
        <v>0</v>
      </c>
    </row>
    <row r="32" spans="1:17" x14ac:dyDescent="0.3">
      <c r="A32" s="3">
        <v>22</v>
      </c>
      <c r="B32" t="s">
        <v>887</v>
      </c>
      <c r="D32" s="59"/>
      <c r="F32" s="59"/>
      <c r="G32" s="59"/>
      <c r="H32" s="59"/>
      <c r="I32" s="59"/>
      <c r="J32" s="59"/>
      <c r="K32" s="59"/>
      <c r="L32" s="59"/>
      <c r="M32" s="59"/>
      <c r="N32" s="59"/>
      <c r="O32" s="59"/>
      <c r="P32" s="59"/>
      <c r="Q32" s="149">
        <f t="shared" si="0"/>
        <v>0</v>
      </c>
    </row>
    <row r="33" spans="1:17" x14ac:dyDescent="0.3">
      <c r="A33" s="3">
        <v>23</v>
      </c>
      <c r="B33" t="s">
        <v>737</v>
      </c>
      <c r="D33" s="59"/>
      <c r="F33" s="59"/>
      <c r="G33" s="59"/>
      <c r="H33" s="59"/>
      <c r="I33" s="59"/>
      <c r="J33" s="59"/>
      <c r="K33" s="59"/>
      <c r="L33" s="59"/>
      <c r="M33" s="59"/>
      <c r="N33" s="59"/>
      <c r="O33" s="59"/>
      <c r="P33" s="59"/>
      <c r="Q33" s="149">
        <f t="shared" si="0"/>
        <v>0</v>
      </c>
    </row>
    <row r="34" spans="1:17" x14ac:dyDescent="0.3">
      <c r="A34" s="3" t="s">
        <v>745</v>
      </c>
      <c r="B34" t="s">
        <v>739</v>
      </c>
      <c r="D34" s="59"/>
      <c r="F34" s="59"/>
      <c r="G34" s="59"/>
      <c r="H34" s="59"/>
      <c r="I34" s="59"/>
      <c r="J34" s="59"/>
      <c r="K34" s="59"/>
      <c r="L34" s="59"/>
      <c r="M34" s="59"/>
      <c r="N34" s="59"/>
      <c r="O34" s="59"/>
      <c r="P34" s="59"/>
      <c r="Q34" s="149">
        <f t="shared" si="0"/>
        <v>0</v>
      </c>
    </row>
    <row r="35" spans="1:17" x14ac:dyDescent="0.3">
      <c r="A35" s="3" t="s">
        <v>747</v>
      </c>
      <c r="B35" t="s">
        <v>741</v>
      </c>
      <c r="D35" s="59"/>
      <c r="F35" s="59"/>
      <c r="G35" s="59"/>
      <c r="H35" s="59"/>
      <c r="I35" s="59"/>
      <c r="J35" s="59"/>
      <c r="K35" s="59"/>
      <c r="L35" s="59"/>
      <c r="M35" s="59"/>
      <c r="N35" s="59"/>
      <c r="O35" s="59"/>
      <c r="P35" s="59"/>
      <c r="Q35" s="149">
        <f t="shared" si="0"/>
        <v>0</v>
      </c>
    </row>
    <row r="36" spans="1:17" x14ac:dyDescent="0.3">
      <c r="A36" s="3">
        <v>25</v>
      </c>
      <c r="B36" t="s">
        <v>742</v>
      </c>
      <c r="D36" s="59"/>
      <c r="F36" s="59"/>
      <c r="G36" s="59"/>
      <c r="H36" s="59"/>
      <c r="I36" s="59"/>
      <c r="J36" s="59"/>
      <c r="K36" s="59"/>
      <c r="L36" s="59"/>
      <c r="M36" s="59"/>
      <c r="N36" s="59"/>
      <c r="O36" s="59"/>
      <c r="P36" s="59"/>
      <c r="Q36" s="149">
        <f t="shared" si="0"/>
        <v>0</v>
      </c>
    </row>
    <row r="37" spans="1:17" x14ac:dyDescent="0.3">
      <c r="A37" s="3">
        <v>26</v>
      </c>
      <c r="B37" t="s">
        <v>888</v>
      </c>
      <c r="D37" s="59"/>
      <c r="F37" s="59"/>
      <c r="G37" s="59"/>
      <c r="H37" s="59"/>
      <c r="I37" s="59"/>
      <c r="J37" s="59"/>
      <c r="K37" s="59"/>
      <c r="L37" s="59"/>
      <c r="M37" s="59"/>
      <c r="N37" s="59"/>
      <c r="O37" s="59"/>
      <c r="P37" s="59"/>
      <c r="Q37" s="149"/>
    </row>
    <row r="38" spans="1:17" x14ac:dyDescent="0.3">
      <c r="A38" s="3">
        <v>27</v>
      </c>
      <c r="B38" t="s">
        <v>889</v>
      </c>
      <c r="D38" s="59"/>
      <c r="F38" s="59"/>
      <c r="G38" s="59"/>
      <c r="H38" s="59"/>
      <c r="I38" s="59"/>
      <c r="J38" s="59"/>
      <c r="K38" s="59"/>
      <c r="L38" s="59"/>
      <c r="M38" s="59"/>
      <c r="N38" s="59"/>
      <c r="O38" s="59"/>
      <c r="P38" s="59"/>
      <c r="Q38" s="149"/>
    </row>
    <row r="39" spans="1:17" x14ac:dyDescent="0.3">
      <c r="A39" s="3">
        <v>28</v>
      </c>
      <c r="B39" t="s">
        <v>743</v>
      </c>
      <c r="D39" s="59"/>
      <c r="F39" s="59"/>
      <c r="G39" s="59"/>
      <c r="H39" s="59"/>
      <c r="I39" s="59"/>
      <c r="J39" s="59"/>
      <c r="K39" s="59"/>
      <c r="L39" s="59"/>
      <c r="M39" s="59"/>
      <c r="N39" s="59"/>
      <c r="O39" s="59"/>
      <c r="P39" s="59"/>
      <c r="Q39" s="149">
        <f t="shared" si="0"/>
        <v>0</v>
      </c>
    </row>
    <row r="40" spans="1:17" x14ac:dyDescent="0.3">
      <c r="A40" s="3">
        <v>29</v>
      </c>
      <c r="B40" t="s">
        <v>795</v>
      </c>
      <c r="D40" s="59"/>
      <c r="F40" s="59"/>
      <c r="G40" s="59"/>
      <c r="H40" s="59"/>
      <c r="I40" s="59"/>
      <c r="J40" s="59"/>
      <c r="K40" s="59"/>
      <c r="L40" s="59"/>
      <c r="M40" s="59"/>
      <c r="N40" s="59"/>
      <c r="O40" s="59"/>
      <c r="P40" s="59"/>
      <c r="Q40" s="149">
        <f t="shared" si="0"/>
        <v>0</v>
      </c>
    </row>
    <row r="41" spans="1:17" x14ac:dyDescent="0.3">
      <c r="A41" s="3">
        <v>30</v>
      </c>
      <c r="B41" t="s">
        <v>749</v>
      </c>
      <c r="D41" s="59"/>
      <c r="F41" s="59"/>
      <c r="G41" s="59"/>
      <c r="H41" s="59"/>
      <c r="I41" s="59"/>
      <c r="J41" s="59"/>
      <c r="K41" s="59"/>
      <c r="L41" s="59"/>
      <c r="M41" s="59"/>
      <c r="N41" s="59"/>
      <c r="O41" s="59"/>
      <c r="P41" s="59"/>
      <c r="Q41" s="149">
        <f t="shared" si="0"/>
        <v>0</v>
      </c>
    </row>
    <row r="42" spans="1:17" x14ac:dyDescent="0.3">
      <c r="A42" s="3">
        <v>31</v>
      </c>
      <c r="B42" t="s">
        <v>890</v>
      </c>
      <c r="D42" s="59"/>
      <c r="F42" s="59"/>
      <c r="G42" s="59"/>
      <c r="H42" s="59"/>
      <c r="I42" s="59"/>
      <c r="J42" s="59"/>
      <c r="K42" s="59"/>
      <c r="L42" s="59"/>
      <c r="M42" s="59"/>
      <c r="N42" s="59"/>
      <c r="O42" s="59"/>
      <c r="P42" s="59"/>
      <c r="Q42" s="149">
        <f t="shared" si="0"/>
        <v>0</v>
      </c>
    </row>
    <row r="43" spans="1:17" x14ac:dyDescent="0.3">
      <c r="A43" s="3">
        <v>32</v>
      </c>
      <c r="B43" t="s">
        <v>752</v>
      </c>
      <c r="D43" s="59"/>
      <c r="F43" s="59"/>
      <c r="G43" s="59"/>
      <c r="H43" s="59"/>
      <c r="I43" s="59"/>
      <c r="J43" s="59"/>
      <c r="K43" s="59"/>
      <c r="L43" s="59"/>
      <c r="M43" s="59"/>
      <c r="N43" s="59"/>
      <c r="O43" s="59"/>
      <c r="P43" s="59"/>
      <c r="Q43" s="149">
        <f t="shared" si="0"/>
        <v>0</v>
      </c>
    </row>
    <row r="44" spans="1:17" x14ac:dyDescent="0.3">
      <c r="A44" s="3"/>
      <c r="C44" s="59"/>
      <c r="D44" s="59"/>
      <c r="F44" s="59"/>
      <c r="G44" s="59"/>
      <c r="H44" s="59"/>
      <c r="I44" s="59"/>
      <c r="J44" s="59"/>
      <c r="K44" s="59"/>
      <c r="L44" s="59"/>
      <c r="M44" s="59"/>
      <c r="N44" s="59"/>
      <c r="O44" s="59"/>
      <c r="P44" s="59"/>
      <c r="Q44" s="149">
        <f t="shared" si="0"/>
        <v>0</v>
      </c>
    </row>
    <row r="45" spans="1:17" x14ac:dyDescent="0.3">
      <c r="C45" s="59"/>
      <c r="D45" s="59"/>
      <c r="F45" s="59"/>
      <c r="G45" s="59"/>
      <c r="H45" s="59"/>
      <c r="I45" s="59"/>
      <c r="J45" s="59"/>
      <c r="K45" s="59"/>
      <c r="L45" s="59"/>
      <c r="M45" s="59"/>
      <c r="N45" s="59"/>
      <c r="O45" s="59"/>
      <c r="P45" s="59"/>
      <c r="Q45" s="149">
        <f t="shared" si="0"/>
        <v>0</v>
      </c>
    </row>
    <row r="46" spans="1:17" x14ac:dyDescent="0.3">
      <c r="C46" s="59"/>
      <c r="D46" s="59"/>
      <c r="F46" s="59"/>
      <c r="G46" s="59"/>
      <c r="H46" s="59"/>
      <c r="I46" s="59"/>
      <c r="J46" s="59"/>
      <c r="K46" s="59"/>
      <c r="L46" s="59"/>
      <c r="M46" s="59"/>
      <c r="N46" s="59"/>
      <c r="O46" s="59"/>
      <c r="P46" s="59"/>
      <c r="Q46" s="149">
        <f t="shared" si="0"/>
        <v>0</v>
      </c>
    </row>
    <row r="47" spans="1:17" x14ac:dyDescent="0.3">
      <c r="C47" s="59"/>
      <c r="D47" s="59"/>
      <c r="F47" s="59"/>
      <c r="G47" s="59"/>
      <c r="H47" s="59"/>
      <c r="I47" s="59"/>
      <c r="J47" s="59"/>
      <c r="K47" s="59"/>
      <c r="L47" s="59"/>
      <c r="M47" s="59"/>
      <c r="N47" s="59"/>
      <c r="O47" s="59"/>
      <c r="P47" s="59"/>
      <c r="Q47" s="149">
        <f t="shared" si="0"/>
        <v>0</v>
      </c>
    </row>
    <row r="48" spans="1:17" x14ac:dyDescent="0.3">
      <c r="C48" s="59"/>
      <c r="D48" s="59"/>
      <c r="F48" s="59"/>
      <c r="G48" s="59"/>
      <c r="H48" s="59"/>
      <c r="I48" s="59"/>
      <c r="J48" s="59"/>
      <c r="K48" s="59"/>
      <c r="L48" s="59"/>
      <c r="M48" s="59"/>
      <c r="N48" s="59"/>
      <c r="O48" s="59"/>
      <c r="P48" s="59"/>
      <c r="Q48" s="149">
        <f t="shared" si="0"/>
        <v>0</v>
      </c>
    </row>
    <row r="49" spans="1:17" x14ac:dyDescent="0.3">
      <c r="C49" s="59"/>
      <c r="D49" s="59"/>
      <c r="F49" s="59"/>
      <c r="G49" s="59"/>
      <c r="H49" s="59"/>
      <c r="I49" s="59"/>
      <c r="J49" s="59"/>
      <c r="K49" s="59"/>
      <c r="L49" s="59"/>
      <c r="M49" s="59"/>
      <c r="N49" s="59"/>
      <c r="O49" s="59"/>
      <c r="P49" s="59"/>
      <c r="Q49" s="149">
        <f t="shared" si="0"/>
        <v>0</v>
      </c>
    </row>
    <row r="50" spans="1:17" x14ac:dyDescent="0.3">
      <c r="C50" s="59"/>
      <c r="D50" s="59"/>
      <c r="F50" s="59"/>
      <c r="G50" s="59"/>
      <c r="H50" s="59"/>
      <c r="I50" s="59"/>
      <c r="J50" s="59"/>
      <c r="K50" s="59"/>
      <c r="L50" s="59"/>
      <c r="M50" s="59"/>
      <c r="N50" s="59"/>
      <c r="O50" s="59"/>
      <c r="P50" s="59"/>
      <c r="Q50" s="149">
        <f t="shared" si="0"/>
        <v>0</v>
      </c>
    </row>
    <row r="51" spans="1:17" x14ac:dyDescent="0.3">
      <c r="C51" s="59"/>
      <c r="D51" s="59"/>
      <c r="F51" s="59"/>
      <c r="G51" s="59"/>
      <c r="H51" s="59"/>
      <c r="I51" s="59"/>
      <c r="J51" s="59"/>
      <c r="K51" s="59"/>
      <c r="L51" s="59"/>
      <c r="M51" s="59"/>
      <c r="N51" s="59"/>
      <c r="O51" s="59"/>
      <c r="P51" s="59"/>
      <c r="Q51" s="149">
        <f t="shared" si="0"/>
        <v>0</v>
      </c>
    </row>
    <row r="52" spans="1:17" x14ac:dyDescent="0.3">
      <c r="C52" s="59"/>
      <c r="D52" s="59"/>
      <c r="F52" s="59"/>
      <c r="G52" s="59"/>
      <c r="H52" s="59"/>
      <c r="I52" s="59"/>
      <c r="J52" s="59"/>
      <c r="K52" s="59"/>
      <c r="L52" s="59"/>
      <c r="M52" s="59"/>
      <c r="N52" s="59"/>
      <c r="O52" s="59"/>
      <c r="P52" s="59"/>
      <c r="Q52" s="149">
        <f t="shared" si="0"/>
        <v>0</v>
      </c>
    </row>
    <row r="53" spans="1:17" x14ac:dyDescent="0.3">
      <c r="C53" s="59"/>
      <c r="D53" s="59"/>
      <c r="F53" s="59"/>
      <c r="G53" s="59"/>
      <c r="H53" s="59"/>
      <c r="I53" s="59"/>
      <c r="J53" s="59"/>
      <c r="K53" s="59"/>
      <c r="L53" s="59"/>
      <c r="M53" s="59"/>
      <c r="N53" s="59"/>
      <c r="O53" s="59"/>
      <c r="P53" s="59"/>
      <c r="Q53" s="149">
        <f t="shared" si="0"/>
        <v>0</v>
      </c>
    </row>
    <row r="54" spans="1:17" x14ac:dyDescent="0.3">
      <c r="C54" s="59"/>
      <c r="D54" s="59"/>
      <c r="F54" s="59"/>
      <c r="G54" s="59"/>
      <c r="H54" s="59"/>
      <c r="I54" s="59"/>
      <c r="J54" s="59"/>
      <c r="K54" s="59"/>
      <c r="L54" s="59"/>
      <c r="M54" s="59"/>
      <c r="N54" s="59"/>
      <c r="O54" s="59"/>
      <c r="P54" s="59"/>
      <c r="Q54" s="149">
        <f t="shared" si="0"/>
        <v>0</v>
      </c>
    </row>
    <row r="55" spans="1:17" x14ac:dyDescent="0.3">
      <c r="C55" s="59"/>
      <c r="D55" s="59"/>
      <c r="F55" s="59"/>
      <c r="G55" s="59"/>
      <c r="H55" s="59"/>
      <c r="I55" s="59"/>
      <c r="J55" s="59"/>
      <c r="K55" s="59"/>
      <c r="L55" s="59"/>
      <c r="M55" s="59"/>
      <c r="N55" s="59"/>
      <c r="O55" s="59"/>
      <c r="P55" s="59"/>
      <c r="Q55" s="149">
        <f t="shared" si="0"/>
        <v>0</v>
      </c>
    </row>
    <row r="56" spans="1:17" x14ac:dyDescent="0.3">
      <c r="C56" s="59"/>
      <c r="D56" s="59"/>
      <c r="F56" s="59"/>
      <c r="G56" s="59"/>
      <c r="H56" s="59"/>
      <c r="I56" s="59"/>
      <c r="J56" s="59"/>
      <c r="K56" s="59"/>
      <c r="L56" s="59"/>
      <c r="M56" s="59"/>
      <c r="N56" s="59"/>
      <c r="O56" s="59"/>
      <c r="P56" s="59"/>
      <c r="Q56" s="149">
        <f t="shared" si="0"/>
        <v>0</v>
      </c>
    </row>
    <row r="57" spans="1:17" x14ac:dyDescent="0.3">
      <c r="C57" s="59"/>
      <c r="D57" s="59"/>
      <c r="F57" s="59"/>
      <c r="G57" s="59"/>
      <c r="H57" s="59"/>
      <c r="I57" s="59"/>
      <c r="J57" s="59"/>
      <c r="K57" s="59"/>
      <c r="L57" s="59"/>
      <c r="M57" s="59"/>
      <c r="N57" s="59"/>
      <c r="O57" s="59"/>
      <c r="P57" s="59"/>
      <c r="Q57" s="149">
        <f t="shared" si="0"/>
        <v>0</v>
      </c>
    </row>
    <row r="58" spans="1:17" x14ac:dyDescent="0.3">
      <c r="C58" s="59"/>
      <c r="D58" s="59"/>
      <c r="F58" s="59"/>
      <c r="G58" s="59"/>
      <c r="H58" s="59"/>
      <c r="I58" s="59"/>
      <c r="J58" s="59"/>
      <c r="K58" s="59"/>
      <c r="L58" s="59"/>
      <c r="M58" s="59"/>
      <c r="N58" s="59"/>
      <c r="O58" s="59"/>
      <c r="P58" s="59"/>
      <c r="Q58" s="149">
        <f t="shared" si="0"/>
        <v>0</v>
      </c>
    </row>
    <row r="60" spans="1:17" x14ac:dyDescent="0.3">
      <c r="A60">
        <v>34</v>
      </c>
      <c r="B60" s="91" t="s">
        <v>756</v>
      </c>
      <c r="D60" s="150">
        <f>SUM(D4:D58)</f>
        <v>0</v>
      </c>
      <c r="E60" s="116"/>
      <c r="F60" s="149">
        <f t="shared" ref="F60:Q60" si="1">SUM(F4:F58)</f>
        <v>0</v>
      </c>
      <c r="G60" s="149">
        <f t="shared" si="1"/>
        <v>0</v>
      </c>
      <c r="H60" s="149">
        <f t="shared" si="1"/>
        <v>0</v>
      </c>
      <c r="I60" s="149">
        <f t="shared" si="1"/>
        <v>0</v>
      </c>
      <c r="J60" s="149">
        <f t="shared" si="1"/>
        <v>0</v>
      </c>
      <c r="K60" s="149">
        <f t="shared" si="1"/>
        <v>0</v>
      </c>
      <c r="L60" s="149">
        <f t="shared" si="1"/>
        <v>0</v>
      </c>
      <c r="M60" s="149">
        <f t="shared" si="1"/>
        <v>0</v>
      </c>
      <c r="N60" s="149">
        <f t="shared" si="1"/>
        <v>0</v>
      </c>
      <c r="O60" s="149">
        <f t="shared" si="1"/>
        <v>0</v>
      </c>
      <c r="P60" s="149">
        <f t="shared" si="1"/>
        <v>0</v>
      </c>
      <c r="Q60" s="150">
        <f t="shared" si="1"/>
        <v>0</v>
      </c>
    </row>
    <row r="64" spans="1:17" x14ac:dyDescent="0.3">
      <c r="A64" s="34" t="s">
        <v>757</v>
      </c>
      <c r="B64" s="91" t="s">
        <v>758</v>
      </c>
      <c r="C64" s="91" t="s">
        <v>759</v>
      </c>
    </row>
    <row r="65" spans="1:1" x14ac:dyDescent="0.3">
      <c r="A65" s="4">
        <v>1</v>
      </c>
    </row>
    <row r="66" spans="1:1" x14ac:dyDescent="0.3">
      <c r="A66" s="4">
        <v>2</v>
      </c>
    </row>
    <row r="67" spans="1:1" x14ac:dyDescent="0.3">
      <c r="A67" s="4">
        <v>3</v>
      </c>
    </row>
    <row r="68" spans="1:1" x14ac:dyDescent="0.3">
      <c r="A68" s="4">
        <v>4</v>
      </c>
    </row>
    <row r="69" spans="1:1" x14ac:dyDescent="0.3">
      <c r="A69" s="4">
        <v>5</v>
      </c>
    </row>
    <row r="70" spans="1:1" x14ac:dyDescent="0.3">
      <c r="A70" s="4">
        <v>6</v>
      </c>
    </row>
    <row r="71" spans="1:1" x14ac:dyDescent="0.3">
      <c r="A71" s="4">
        <v>7</v>
      </c>
    </row>
    <row r="72" spans="1:1" x14ac:dyDescent="0.3">
      <c r="A72" s="4">
        <v>8</v>
      </c>
    </row>
    <row r="73" spans="1:1" x14ac:dyDescent="0.3">
      <c r="A73" s="4">
        <v>9</v>
      </c>
    </row>
    <row r="74" spans="1:1" x14ac:dyDescent="0.3">
      <c r="A74" s="4">
        <v>10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Lists!$A$1:$A$3</xm:f>
          </x14:formula1>
          <xm:sqref>A1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pageSetUpPr fitToPage="1"/>
  </sheetPr>
  <dimension ref="A1:F55"/>
  <sheetViews>
    <sheetView topLeftCell="A46" workbookViewId="0">
      <selection activeCell="F65" sqref="F65"/>
    </sheetView>
  </sheetViews>
  <sheetFormatPr defaultRowHeight="14.4" x14ac:dyDescent="0.3"/>
  <cols>
    <col min="1" max="1" width="3.6640625" customWidth="1"/>
    <col min="2" max="2" width="66.109375" bestFit="1" customWidth="1"/>
    <col min="3" max="3" width="11.109375" bestFit="1" customWidth="1"/>
    <col min="4" max="4" width="10.109375" bestFit="1" customWidth="1"/>
    <col min="6" max="6" width="7.6640625" bestFit="1" customWidth="1"/>
  </cols>
  <sheetData>
    <row r="1" spans="1:6" x14ac:dyDescent="0.3">
      <c r="C1" s="4" t="s">
        <v>265</v>
      </c>
      <c r="D1" s="4" t="s">
        <v>891</v>
      </c>
      <c r="F1" s="4" t="s">
        <v>892</v>
      </c>
    </row>
    <row r="2" spans="1:6" x14ac:dyDescent="0.3">
      <c r="C2" s="4"/>
      <c r="D2" s="4"/>
    </row>
    <row r="3" spans="1:6" x14ac:dyDescent="0.3">
      <c r="A3" s="95" t="s">
        <v>893</v>
      </c>
      <c r="B3" s="96"/>
      <c r="C3" s="99"/>
      <c r="D3" s="4"/>
    </row>
    <row r="4" spans="1:6" x14ac:dyDescent="0.3">
      <c r="C4" s="100"/>
    </row>
    <row r="5" spans="1:6" x14ac:dyDescent="0.3">
      <c r="A5" s="95" t="s">
        <v>894</v>
      </c>
      <c r="B5" s="98"/>
      <c r="C5" s="101"/>
    </row>
    <row r="6" spans="1:6" x14ac:dyDescent="0.3">
      <c r="B6" s="97" t="s">
        <v>895</v>
      </c>
      <c r="C6" s="102"/>
    </row>
    <row r="7" spans="1:6" x14ac:dyDescent="0.3">
      <c r="B7" s="49" t="s">
        <v>896</v>
      </c>
      <c r="C7" s="99"/>
    </row>
    <row r="8" spans="1:6" x14ac:dyDescent="0.3">
      <c r="B8" s="49" t="s">
        <v>897</v>
      </c>
      <c r="C8" s="104">
        <f>'Social Security'!F11</f>
        <v>0</v>
      </c>
    </row>
    <row r="9" spans="1:6" x14ac:dyDescent="0.3">
      <c r="B9" s="49" t="s">
        <v>898</v>
      </c>
      <c r="C9" s="99"/>
    </row>
    <row r="10" spans="1:6" x14ac:dyDescent="0.3">
      <c r="B10" s="49" t="s">
        <v>899</v>
      </c>
      <c r="C10" s="103"/>
    </row>
    <row r="11" spans="1:6" x14ac:dyDescent="0.3">
      <c r="B11" s="49" t="s">
        <v>900</v>
      </c>
      <c r="C11" s="99"/>
    </row>
    <row r="12" spans="1:6" x14ac:dyDescent="0.3">
      <c r="B12" s="49" t="s">
        <v>901</v>
      </c>
      <c r="C12" s="99"/>
    </row>
    <row r="13" spans="1:6" x14ac:dyDescent="0.3">
      <c r="B13" s="49" t="s">
        <v>902</v>
      </c>
      <c r="C13" s="99"/>
    </row>
    <row r="14" spans="1:6" x14ac:dyDescent="0.3">
      <c r="B14" s="49" t="s">
        <v>903</v>
      </c>
      <c r="C14" s="99"/>
    </row>
    <row r="15" spans="1:6" x14ac:dyDescent="0.3">
      <c r="B15" s="49" t="s">
        <v>904</v>
      </c>
      <c r="C15" s="103"/>
    </row>
    <row r="16" spans="1:6" x14ac:dyDescent="0.3">
      <c r="B16" s="49" t="s">
        <v>905</v>
      </c>
      <c r="C16" s="99"/>
    </row>
    <row r="17" spans="1:6" x14ac:dyDescent="0.3">
      <c r="B17" s="94" t="s">
        <v>906</v>
      </c>
      <c r="C17" s="99"/>
    </row>
    <row r="18" spans="1:6" x14ac:dyDescent="0.3">
      <c r="B18" s="94" t="s">
        <v>906</v>
      </c>
      <c r="C18" s="99"/>
    </row>
    <row r="19" spans="1:6" x14ac:dyDescent="0.3">
      <c r="A19" s="95" t="s">
        <v>907</v>
      </c>
      <c r="B19" s="96"/>
      <c r="C19" s="104">
        <f>SUM(C6:C18)</f>
        <v>0</v>
      </c>
      <c r="D19" s="104">
        <f>IF(C19-0.075*C3&gt;0,C19-0.075*C3,0)</f>
        <v>0</v>
      </c>
    </row>
    <row r="21" spans="1:6" x14ac:dyDescent="0.3">
      <c r="A21" s="95" t="s">
        <v>908</v>
      </c>
      <c r="B21" s="98"/>
      <c r="C21" s="96"/>
    </row>
    <row r="22" spans="1:6" x14ac:dyDescent="0.3">
      <c r="B22" s="122" t="s">
        <v>909</v>
      </c>
      <c r="C22" s="96" t="s">
        <v>910</v>
      </c>
    </row>
    <row r="23" spans="1:6" x14ac:dyDescent="0.3">
      <c r="B23" s="97" t="s">
        <v>911</v>
      </c>
      <c r="C23" s="99"/>
    </row>
    <row r="24" spans="1:6" x14ac:dyDescent="0.3">
      <c r="B24" s="97" t="s">
        <v>910</v>
      </c>
      <c r="C24" s="104">
        <f>'Fed-State Tax Payments'!U25</f>
        <v>0</v>
      </c>
    </row>
    <row r="25" spans="1:6" x14ac:dyDescent="0.3">
      <c r="B25" s="97" t="s">
        <v>912</v>
      </c>
      <c r="C25" s="99"/>
      <c r="F25" s="104">
        <f>C25*0.05</f>
        <v>0</v>
      </c>
    </row>
    <row r="26" spans="1:6" x14ac:dyDescent="0.3">
      <c r="B26" s="97" t="s">
        <v>913</v>
      </c>
      <c r="C26" s="99"/>
    </row>
    <row r="27" spans="1:6" x14ac:dyDescent="0.3">
      <c r="B27" s="97" t="s">
        <v>914</v>
      </c>
      <c r="C27" s="99"/>
    </row>
    <row r="28" spans="1:6" x14ac:dyDescent="0.3">
      <c r="B28" s="97" t="s">
        <v>906</v>
      </c>
      <c r="C28" s="99"/>
    </row>
    <row r="29" spans="1:6" x14ac:dyDescent="0.3">
      <c r="A29" s="95" t="s">
        <v>915</v>
      </c>
      <c r="B29" s="96"/>
      <c r="C29" s="104">
        <f>IF(C22=B23,SUM(C23,C25:C28),SUM(C24,C25:C28))</f>
        <v>0</v>
      </c>
      <c r="D29" s="104">
        <f>IF(C29&gt;10000,10000,C29)</f>
        <v>0</v>
      </c>
    </row>
    <row r="31" spans="1:6" x14ac:dyDescent="0.3">
      <c r="A31" s="95" t="s">
        <v>476</v>
      </c>
      <c r="B31" s="98"/>
      <c r="C31" s="101"/>
    </row>
    <row r="32" spans="1:6" x14ac:dyDescent="0.3">
      <c r="B32" s="97" t="s">
        <v>916</v>
      </c>
      <c r="C32" s="102"/>
      <c r="D32" s="99">
        <f>C32</f>
        <v>0</v>
      </c>
      <c r="E32" t="s">
        <v>917</v>
      </c>
    </row>
    <row r="33" spans="1:5" x14ac:dyDescent="0.3">
      <c r="B33" s="97" t="s">
        <v>918</v>
      </c>
      <c r="C33" s="99"/>
      <c r="D33" s="99">
        <f>C33</f>
        <v>0</v>
      </c>
      <c r="E33" t="s">
        <v>917</v>
      </c>
    </row>
    <row r="34" spans="1:5" x14ac:dyDescent="0.3">
      <c r="B34" s="97" t="s">
        <v>919</v>
      </c>
      <c r="C34" s="99"/>
    </row>
    <row r="35" spans="1:5" x14ac:dyDescent="0.3">
      <c r="B35" s="97" t="s">
        <v>920</v>
      </c>
      <c r="C35" s="103"/>
      <c r="D35" s="103">
        <f>C35</f>
        <v>0</v>
      </c>
      <c r="E35" t="s">
        <v>917</v>
      </c>
    </row>
    <row r="36" spans="1:5" x14ac:dyDescent="0.3">
      <c r="A36" s="95" t="s">
        <v>921</v>
      </c>
      <c r="B36" s="96"/>
      <c r="C36" s="104">
        <f>SUM(C32:C35)</f>
        <v>0</v>
      </c>
      <c r="D36" s="104">
        <f>D32+D33+C34+D35</f>
        <v>0</v>
      </c>
    </row>
    <row r="38" spans="1:5" x14ac:dyDescent="0.3">
      <c r="A38" s="95" t="s">
        <v>922</v>
      </c>
      <c r="B38" s="98"/>
      <c r="C38" s="101"/>
    </row>
    <row r="39" spans="1:5" x14ac:dyDescent="0.3">
      <c r="B39" s="49" t="s">
        <v>923</v>
      </c>
      <c r="C39" s="99"/>
    </row>
    <row r="40" spans="1:5" x14ac:dyDescent="0.3">
      <c r="B40" s="49" t="s">
        <v>923</v>
      </c>
      <c r="C40" s="99"/>
    </row>
    <row r="41" spans="1:5" x14ac:dyDescent="0.3">
      <c r="B41" s="49" t="s">
        <v>923</v>
      </c>
      <c r="C41" s="99"/>
    </row>
    <row r="42" spans="1:5" x14ac:dyDescent="0.3">
      <c r="B42" s="49" t="s">
        <v>923</v>
      </c>
      <c r="C42" s="99"/>
    </row>
    <row r="43" spans="1:5" x14ac:dyDescent="0.3">
      <c r="B43" s="49" t="s">
        <v>924</v>
      </c>
      <c r="C43" s="104">
        <f>'Schedule E -K-1 Summary'!O35+'Schedule E -K-1 Summary'!O36</f>
        <v>0</v>
      </c>
    </row>
    <row r="44" spans="1:5" x14ac:dyDescent="0.3">
      <c r="B44" s="49" t="s">
        <v>925</v>
      </c>
      <c r="C44" s="99">
        <f>SUM(C39:C43)</f>
        <v>0</v>
      </c>
    </row>
    <row r="45" spans="1:5" x14ac:dyDescent="0.3">
      <c r="B45" s="49" t="s">
        <v>926</v>
      </c>
      <c r="C45" s="99"/>
    </row>
    <row r="46" spans="1:5" x14ac:dyDescent="0.3">
      <c r="B46" s="49" t="s">
        <v>926</v>
      </c>
      <c r="C46" s="99"/>
    </row>
    <row r="47" spans="1:5" x14ac:dyDescent="0.3">
      <c r="B47" s="49" t="s">
        <v>927</v>
      </c>
      <c r="C47" s="104">
        <f>'Schedule E -K-1 Summary'!O37+'Schedule E -K-1 Summary'!O38</f>
        <v>0</v>
      </c>
    </row>
    <row r="48" spans="1:5" x14ac:dyDescent="0.3">
      <c r="B48" s="49" t="s">
        <v>928</v>
      </c>
      <c r="C48" s="99">
        <f>SUM(C45:C46)</f>
        <v>0</v>
      </c>
    </row>
    <row r="49" spans="1:5" x14ac:dyDescent="0.3">
      <c r="B49" s="49" t="s">
        <v>929</v>
      </c>
      <c r="C49" s="99"/>
    </row>
    <row r="50" spans="1:5" x14ac:dyDescent="0.3">
      <c r="A50" s="95" t="s">
        <v>930</v>
      </c>
      <c r="B50" s="96"/>
      <c r="C50" s="104">
        <f>C44+C48+C49</f>
        <v>0</v>
      </c>
      <c r="D50" s="99">
        <f>C50</f>
        <v>0</v>
      </c>
      <c r="E50" t="s">
        <v>917</v>
      </c>
    </row>
    <row r="52" spans="1:5" x14ac:dyDescent="0.3">
      <c r="A52" s="95" t="s">
        <v>931</v>
      </c>
      <c r="B52" s="96"/>
      <c r="C52" s="99"/>
    </row>
    <row r="53" spans="1:5" x14ac:dyDescent="0.3">
      <c r="A53" s="95" t="s">
        <v>932</v>
      </c>
      <c r="B53" s="96"/>
      <c r="C53" s="99"/>
    </row>
    <row r="54" spans="1:5" ht="15" thickBot="1" x14ac:dyDescent="0.35"/>
    <row r="55" spans="1:5" ht="15" thickBot="1" x14ac:dyDescent="0.35">
      <c r="A55" s="106" t="s">
        <v>933</v>
      </c>
      <c r="B55" s="107"/>
      <c r="C55" s="108"/>
      <c r="D55" s="109">
        <f>D19+D29+D36+D50+C52+C53</f>
        <v>0</v>
      </c>
    </row>
  </sheetData>
  <dataValidations count="1">
    <dataValidation type="list" allowBlank="1" showInputMessage="1" showErrorMessage="1" sqref="C22" xr:uid="{00000000-0002-0000-1300-000000000000}">
      <formula1>$B$23:$B$24</formula1>
    </dataValidation>
  </dataValidations>
  <pageMargins left="0.7" right="0.7" top="0.75" bottom="0.75" header="0.3" footer="0.3"/>
  <pageSetup scale="84"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
  <dimension ref="A1:W179"/>
  <sheetViews>
    <sheetView workbookViewId="0"/>
  </sheetViews>
  <sheetFormatPr defaultColWidth="9.6640625" defaultRowHeight="13.2" x14ac:dyDescent="0.25"/>
  <cols>
    <col min="1" max="1" width="13" style="18" customWidth="1"/>
    <col min="2" max="2" width="8.5546875" style="18" customWidth="1"/>
    <col min="3" max="3" width="7" style="18" customWidth="1"/>
    <col min="4" max="4" width="9.6640625" style="18" customWidth="1"/>
    <col min="5" max="5" width="7.6640625" style="18" customWidth="1"/>
    <col min="6" max="6" width="9.6640625" style="18" customWidth="1"/>
    <col min="7" max="7" width="13.109375" style="19" hidden="1" customWidth="1"/>
    <col min="8" max="8" width="13.109375" style="18" customWidth="1"/>
    <col min="9" max="9" width="16.33203125" style="18" customWidth="1"/>
    <col min="10" max="10" width="12.33203125" style="18" customWidth="1"/>
    <col min="11" max="16384" width="9.6640625" style="18"/>
  </cols>
  <sheetData>
    <row r="1" spans="1:23" s="9" customFormat="1" x14ac:dyDescent="0.25">
      <c r="A1" s="8" t="s">
        <v>934</v>
      </c>
      <c r="G1" s="10"/>
    </row>
    <row r="2" spans="1:23" s="7" customFormat="1" ht="12.75" customHeight="1" thickBot="1" x14ac:dyDescent="0.3">
      <c r="A2" s="11"/>
      <c r="G2" s="12"/>
      <c r="H2" s="6"/>
    </row>
    <row r="3" spans="1:23" s="7" customFormat="1" ht="12.75" customHeight="1" thickBot="1" x14ac:dyDescent="0.3">
      <c r="A3" s="13" t="s">
        <v>56</v>
      </c>
      <c r="B3" s="14"/>
      <c r="C3" s="14"/>
      <c r="D3" s="15"/>
      <c r="F3" s="282" t="s">
        <v>935</v>
      </c>
      <c r="G3" s="283"/>
      <c r="H3" s="283"/>
      <c r="I3" s="283"/>
      <c r="J3" s="283"/>
      <c r="K3" s="283"/>
      <c r="L3" s="283"/>
      <c r="M3" s="283"/>
      <c r="N3" s="283"/>
      <c r="O3" s="283"/>
      <c r="P3" s="283"/>
      <c r="Q3" s="283"/>
      <c r="R3" s="283"/>
      <c r="S3" s="283"/>
      <c r="T3" s="283"/>
      <c r="U3" s="283"/>
      <c r="V3" s="283"/>
      <c r="W3" s="284"/>
    </row>
    <row r="4" spans="1:23" s="7" customFormat="1" ht="12.75" customHeight="1" x14ac:dyDescent="0.25">
      <c r="A4" s="11"/>
      <c r="G4" s="12"/>
      <c r="H4" s="6"/>
    </row>
    <row r="5" spans="1:23" s="7" customFormat="1" ht="12.75" customHeight="1" x14ac:dyDescent="0.25">
      <c r="G5" s="12"/>
      <c r="H5" s="6"/>
    </row>
    <row r="6" spans="1:23" s="7" customFormat="1" ht="14.4" customHeight="1" x14ac:dyDescent="0.25">
      <c r="A6" s="16"/>
      <c r="G6" s="12"/>
      <c r="H6" s="6"/>
    </row>
    <row r="7" spans="1:23" x14ac:dyDescent="0.25">
      <c r="A7" s="17" t="s">
        <v>936</v>
      </c>
      <c r="B7" s="279"/>
      <c r="C7" s="280"/>
      <c r="D7" s="281"/>
      <c r="I7" s="20">
        <f>I22</f>
        <v>0</v>
      </c>
    </row>
    <row r="9" spans="1:23" x14ac:dyDescent="0.25">
      <c r="B9" s="21" t="s">
        <v>937</v>
      </c>
      <c r="H9" s="64"/>
    </row>
    <row r="11" spans="1:23" x14ac:dyDescent="0.25">
      <c r="B11" s="21" t="s">
        <v>938</v>
      </c>
      <c r="H11" s="64"/>
    </row>
    <row r="13" spans="1:23" x14ac:dyDescent="0.25">
      <c r="B13" s="21" t="s">
        <v>939</v>
      </c>
    </row>
    <row r="14" spans="1:23" x14ac:dyDescent="0.25">
      <c r="B14" s="21" t="s">
        <v>940</v>
      </c>
      <c r="H14" s="64"/>
    </row>
    <row r="16" spans="1:23" x14ac:dyDescent="0.25">
      <c r="B16" s="22" t="s">
        <v>941</v>
      </c>
    </row>
    <row r="18" spans="1:9" x14ac:dyDescent="0.25">
      <c r="B18" s="65">
        <f>H14</f>
        <v>0</v>
      </c>
      <c r="C18" s="26" t="s">
        <v>942</v>
      </c>
      <c r="D18" s="66">
        <f>H9</f>
        <v>0</v>
      </c>
      <c r="E18" s="18" t="s">
        <v>943</v>
      </c>
      <c r="F18" s="66">
        <f>B18/B19*D18</f>
        <v>0</v>
      </c>
      <c r="G18" s="20"/>
    </row>
    <row r="19" spans="1:9" x14ac:dyDescent="0.25">
      <c r="B19" s="66">
        <f>H11+0.00000001</f>
        <v>1E-8</v>
      </c>
      <c r="G19" s="18"/>
    </row>
    <row r="20" spans="1:9" x14ac:dyDescent="0.25">
      <c r="G20" s="18"/>
    </row>
    <row r="21" spans="1:9" ht="13.8" thickBot="1" x14ac:dyDescent="0.3">
      <c r="B21" s="18" t="s">
        <v>944</v>
      </c>
      <c r="G21" s="18">
        <f>H21</f>
        <v>0</v>
      </c>
      <c r="H21" s="67">
        <f>H9-F18</f>
        <v>0</v>
      </c>
    </row>
    <row r="22" spans="1:9" ht="14.4" thickTop="1" thickBot="1" x14ac:dyDescent="0.3">
      <c r="B22" s="18" t="s">
        <v>945</v>
      </c>
      <c r="G22" s="18"/>
      <c r="H22" s="23"/>
      <c r="I22" s="67">
        <f>F18</f>
        <v>0</v>
      </c>
    </row>
    <row r="23" spans="1:9" ht="13.8" thickTop="1" x14ac:dyDescent="0.25">
      <c r="C23" s="24"/>
      <c r="D23" s="24"/>
      <c r="E23" s="24"/>
      <c r="F23" s="24"/>
      <c r="G23" s="25"/>
      <c r="H23" s="24"/>
      <c r="I23" s="24"/>
    </row>
    <row r="24" spans="1:9" x14ac:dyDescent="0.25">
      <c r="A24" s="17" t="s">
        <v>936</v>
      </c>
      <c r="B24" s="279"/>
      <c r="C24" s="280"/>
      <c r="D24" s="281"/>
      <c r="I24" s="20">
        <f>I39</f>
        <v>0</v>
      </c>
    </row>
    <row r="26" spans="1:9" x14ac:dyDescent="0.25">
      <c r="B26" s="21" t="s">
        <v>937</v>
      </c>
      <c r="H26" s="64"/>
    </row>
    <row r="28" spans="1:9" x14ac:dyDescent="0.25">
      <c r="B28" s="21" t="s">
        <v>938</v>
      </c>
      <c r="H28" s="64"/>
    </row>
    <row r="30" spans="1:9" x14ac:dyDescent="0.25">
      <c r="B30" s="21" t="s">
        <v>939</v>
      </c>
    </row>
    <row r="31" spans="1:9" x14ac:dyDescent="0.25">
      <c r="B31" s="21" t="s">
        <v>940</v>
      </c>
      <c r="H31" s="64"/>
    </row>
    <row r="33" spans="1:9" x14ac:dyDescent="0.25">
      <c r="B33" s="22" t="s">
        <v>941</v>
      </c>
    </row>
    <row r="35" spans="1:9" x14ac:dyDescent="0.25">
      <c r="B35" s="27">
        <f>H31</f>
        <v>0</v>
      </c>
      <c r="C35" s="26" t="s">
        <v>942</v>
      </c>
      <c r="D35" s="18">
        <f>H26</f>
        <v>0</v>
      </c>
      <c r="E35" s="18" t="s">
        <v>943</v>
      </c>
      <c r="F35" s="18">
        <f>B35/B36*D35</f>
        <v>0</v>
      </c>
      <c r="G35" s="20"/>
    </row>
    <row r="36" spans="1:9" x14ac:dyDescent="0.25">
      <c r="B36" s="18">
        <f>H28+0.00000001</f>
        <v>1E-8</v>
      </c>
      <c r="G36" s="18"/>
    </row>
    <row r="37" spans="1:9" x14ac:dyDescent="0.25">
      <c r="G37" s="18"/>
    </row>
    <row r="38" spans="1:9" ht="13.8" thickBot="1" x14ac:dyDescent="0.3">
      <c r="B38" s="18" t="s">
        <v>944</v>
      </c>
      <c r="G38" s="18">
        <f>H38</f>
        <v>0</v>
      </c>
      <c r="H38" s="67">
        <f>H26-F35</f>
        <v>0</v>
      </c>
    </row>
    <row r="39" spans="1:9" ht="14.4" thickTop="1" thickBot="1" x14ac:dyDescent="0.3">
      <c r="B39" s="18" t="s">
        <v>945</v>
      </c>
      <c r="G39" s="18"/>
      <c r="H39" s="23"/>
      <c r="I39" s="67">
        <f>F35</f>
        <v>0</v>
      </c>
    </row>
    <row r="40" spans="1:9" ht="13.8" thickTop="1" x14ac:dyDescent="0.25"/>
    <row r="41" spans="1:9" x14ac:dyDescent="0.25">
      <c r="A41" s="17" t="s">
        <v>936</v>
      </c>
      <c r="B41" s="279"/>
      <c r="C41" s="280"/>
      <c r="D41" s="281"/>
      <c r="I41" s="20">
        <f>I56</f>
        <v>0</v>
      </c>
    </row>
    <row r="43" spans="1:9" x14ac:dyDescent="0.25">
      <c r="B43" s="21" t="s">
        <v>937</v>
      </c>
      <c r="H43" s="64"/>
    </row>
    <row r="45" spans="1:9" x14ac:dyDescent="0.25">
      <c r="B45" s="21" t="s">
        <v>938</v>
      </c>
      <c r="H45" s="64"/>
    </row>
    <row r="47" spans="1:9" x14ac:dyDescent="0.25">
      <c r="B47" s="21" t="s">
        <v>939</v>
      </c>
    </row>
    <row r="48" spans="1:9" x14ac:dyDescent="0.25">
      <c r="B48" s="21" t="s">
        <v>940</v>
      </c>
      <c r="H48" s="64"/>
    </row>
    <row r="50" spans="1:9" x14ac:dyDescent="0.25">
      <c r="B50" s="22" t="s">
        <v>941</v>
      </c>
    </row>
    <row r="52" spans="1:9" x14ac:dyDescent="0.25">
      <c r="B52" s="27">
        <f>H48</f>
        <v>0</v>
      </c>
      <c r="C52" s="26" t="s">
        <v>942</v>
      </c>
      <c r="D52" s="18">
        <f>H43</f>
        <v>0</v>
      </c>
      <c r="E52" s="18" t="s">
        <v>943</v>
      </c>
      <c r="F52" s="18">
        <f>B52/B53*D52</f>
        <v>0</v>
      </c>
      <c r="G52" s="20"/>
    </row>
    <row r="53" spans="1:9" x14ac:dyDescent="0.25">
      <c r="B53" s="18">
        <f>H45+0.00000001</f>
        <v>1E-8</v>
      </c>
      <c r="G53" s="18"/>
    </row>
    <row r="54" spans="1:9" x14ac:dyDescent="0.25">
      <c r="G54" s="18"/>
    </row>
    <row r="55" spans="1:9" ht="13.8" thickBot="1" x14ac:dyDescent="0.3">
      <c r="B55" s="18" t="s">
        <v>944</v>
      </c>
      <c r="G55" s="18">
        <f>H55</f>
        <v>0</v>
      </c>
      <c r="H55" s="67">
        <f>H43-F52</f>
        <v>0</v>
      </c>
    </row>
    <row r="56" spans="1:9" ht="14.4" thickTop="1" thickBot="1" x14ac:dyDescent="0.3">
      <c r="B56" s="18" t="s">
        <v>945</v>
      </c>
      <c r="G56" s="18"/>
      <c r="H56" s="23"/>
      <c r="I56" s="67">
        <f>F52</f>
        <v>0</v>
      </c>
    </row>
    <row r="57" spans="1:9" ht="13.8" thickTop="1" x14ac:dyDescent="0.25"/>
    <row r="58" spans="1:9" x14ac:dyDescent="0.25">
      <c r="A58" s="17" t="s">
        <v>936</v>
      </c>
      <c r="B58" s="279"/>
      <c r="C58" s="280"/>
      <c r="D58" s="281"/>
      <c r="I58" s="20">
        <f>I73</f>
        <v>0</v>
      </c>
    </row>
    <row r="60" spans="1:9" x14ac:dyDescent="0.25">
      <c r="B60" s="21" t="s">
        <v>937</v>
      </c>
      <c r="H60" s="64"/>
    </row>
    <row r="62" spans="1:9" x14ac:dyDescent="0.25">
      <c r="B62" s="21" t="s">
        <v>938</v>
      </c>
      <c r="H62" s="64"/>
    </row>
    <row r="64" spans="1:9" x14ac:dyDescent="0.25">
      <c r="B64" s="21" t="s">
        <v>939</v>
      </c>
    </row>
    <row r="65" spans="1:9" x14ac:dyDescent="0.25">
      <c r="B65" s="21" t="s">
        <v>940</v>
      </c>
      <c r="H65" s="64"/>
    </row>
    <row r="67" spans="1:9" x14ac:dyDescent="0.25">
      <c r="B67" s="22" t="s">
        <v>941</v>
      </c>
    </row>
    <row r="69" spans="1:9" x14ac:dyDescent="0.25">
      <c r="B69" s="27">
        <f>H65</f>
        <v>0</v>
      </c>
      <c r="C69" s="26" t="s">
        <v>942</v>
      </c>
      <c r="D69" s="18">
        <f>H60</f>
        <v>0</v>
      </c>
      <c r="E69" s="18" t="s">
        <v>943</v>
      </c>
      <c r="F69" s="18">
        <f>B69/B70*D69</f>
        <v>0</v>
      </c>
      <c r="G69" s="20"/>
    </row>
    <row r="70" spans="1:9" x14ac:dyDescent="0.25">
      <c r="B70" s="18">
        <f>H62+0.00000001</f>
        <v>1E-8</v>
      </c>
      <c r="G70" s="18"/>
    </row>
    <row r="71" spans="1:9" x14ac:dyDescent="0.25">
      <c r="G71" s="18"/>
    </row>
    <row r="72" spans="1:9" ht="13.8" thickBot="1" x14ac:dyDescent="0.3">
      <c r="B72" s="18" t="s">
        <v>944</v>
      </c>
      <c r="G72" s="18">
        <f>H72</f>
        <v>0</v>
      </c>
      <c r="H72" s="67">
        <f>H60-F69</f>
        <v>0</v>
      </c>
    </row>
    <row r="73" spans="1:9" ht="14.4" thickTop="1" thickBot="1" x14ac:dyDescent="0.3">
      <c r="B73" s="18" t="s">
        <v>945</v>
      </c>
      <c r="G73" s="18"/>
      <c r="H73" s="23"/>
      <c r="I73" s="67">
        <f>F69</f>
        <v>0</v>
      </c>
    </row>
    <row r="74" spans="1:9" ht="13.8" thickTop="1" x14ac:dyDescent="0.25"/>
    <row r="75" spans="1:9" x14ac:dyDescent="0.25">
      <c r="A75" s="17" t="s">
        <v>936</v>
      </c>
      <c r="B75" s="279"/>
      <c r="C75" s="280"/>
      <c r="D75" s="281"/>
      <c r="I75" s="20">
        <f>I90</f>
        <v>0</v>
      </c>
    </row>
    <row r="77" spans="1:9" x14ac:dyDescent="0.25">
      <c r="B77" s="21" t="s">
        <v>937</v>
      </c>
      <c r="H77" s="64"/>
    </row>
    <row r="79" spans="1:9" x14ac:dyDescent="0.25">
      <c r="B79" s="21" t="s">
        <v>938</v>
      </c>
      <c r="H79" s="64"/>
    </row>
    <row r="81" spans="1:9" x14ac:dyDescent="0.25">
      <c r="B81" s="21" t="s">
        <v>939</v>
      </c>
    </row>
    <row r="82" spans="1:9" x14ac:dyDescent="0.25">
      <c r="B82" s="21" t="s">
        <v>940</v>
      </c>
      <c r="H82" s="64"/>
    </row>
    <row r="84" spans="1:9" x14ac:dyDescent="0.25">
      <c r="B84" s="22" t="s">
        <v>941</v>
      </c>
    </row>
    <row r="86" spans="1:9" x14ac:dyDescent="0.25">
      <c r="B86" s="27">
        <f>H82</f>
        <v>0</v>
      </c>
      <c r="C86" s="26" t="s">
        <v>942</v>
      </c>
      <c r="D86" s="18">
        <f>H77</f>
        <v>0</v>
      </c>
      <c r="E86" s="18" t="s">
        <v>943</v>
      </c>
      <c r="F86" s="18">
        <f>B86/B87*D86</f>
        <v>0</v>
      </c>
      <c r="G86" s="20"/>
    </row>
    <row r="87" spans="1:9" x14ac:dyDescent="0.25">
      <c r="B87" s="18">
        <f>H79+0.00000001</f>
        <v>1E-8</v>
      </c>
      <c r="G87" s="18"/>
    </row>
    <row r="88" spans="1:9" x14ac:dyDescent="0.25">
      <c r="G88" s="18"/>
    </row>
    <row r="89" spans="1:9" ht="13.8" thickBot="1" x14ac:dyDescent="0.3">
      <c r="B89" s="18" t="s">
        <v>944</v>
      </c>
      <c r="G89" s="18">
        <f>H89</f>
        <v>0</v>
      </c>
      <c r="H89" s="67">
        <f>H77-F86</f>
        <v>0</v>
      </c>
    </row>
    <row r="90" spans="1:9" ht="14.4" thickTop="1" thickBot="1" x14ac:dyDescent="0.3">
      <c r="B90" s="18" t="s">
        <v>945</v>
      </c>
      <c r="G90" s="18"/>
      <c r="H90" s="23"/>
      <c r="I90" s="67">
        <f>F86</f>
        <v>0</v>
      </c>
    </row>
    <row r="91" spans="1:9" ht="13.8" thickTop="1" x14ac:dyDescent="0.25"/>
    <row r="92" spans="1:9" x14ac:dyDescent="0.25">
      <c r="A92" s="17" t="s">
        <v>936</v>
      </c>
      <c r="B92" s="279"/>
      <c r="C92" s="280"/>
      <c r="D92" s="281"/>
      <c r="I92" s="20">
        <f>I107</f>
        <v>0</v>
      </c>
    </row>
    <row r="94" spans="1:9" x14ac:dyDescent="0.25">
      <c r="B94" s="21" t="s">
        <v>937</v>
      </c>
      <c r="H94" s="64"/>
    </row>
    <row r="96" spans="1:9" x14ac:dyDescent="0.25">
      <c r="B96" s="21" t="s">
        <v>938</v>
      </c>
      <c r="H96" s="64"/>
    </row>
    <row r="98" spans="1:9" x14ac:dyDescent="0.25">
      <c r="B98" s="21" t="s">
        <v>939</v>
      </c>
    </row>
    <row r="99" spans="1:9" x14ac:dyDescent="0.25">
      <c r="B99" s="21" t="s">
        <v>940</v>
      </c>
      <c r="H99" s="64"/>
    </row>
    <row r="101" spans="1:9" x14ac:dyDescent="0.25">
      <c r="B101" s="22" t="s">
        <v>941</v>
      </c>
    </row>
    <row r="103" spans="1:9" x14ac:dyDescent="0.25">
      <c r="B103" s="27">
        <f>H99</f>
        <v>0</v>
      </c>
      <c r="C103" s="26" t="s">
        <v>942</v>
      </c>
      <c r="D103" s="18">
        <f>H94</f>
        <v>0</v>
      </c>
      <c r="E103" s="18" t="s">
        <v>943</v>
      </c>
      <c r="F103" s="18">
        <f>B103/B104*D103</f>
        <v>0</v>
      </c>
      <c r="G103" s="20"/>
    </row>
    <row r="104" spans="1:9" x14ac:dyDescent="0.25">
      <c r="B104" s="18">
        <f>H96+0.00000001</f>
        <v>1E-8</v>
      </c>
      <c r="G104" s="18"/>
    </row>
    <row r="105" spans="1:9" x14ac:dyDescent="0.25">
      <c r="G105" s="18"/>
    </row>
    <row r="106" spans="1:9" ht="13.8" thickBot="1" x14ac:dyDescent="0.3">
      <c r="B106" s="18" t="s">
        <v>944</v>
      </c>
      <c r="G106" s="18">
        <f>H106</f>
        <v>0</v>
      </c>
      <c r="H106" s="67">
        <f>H94-F103</f>
        <v>0</v>
      </c>
    </row>
    <row r="107" spans="1:9" ht="14.4" thickTop="1" thickBot="1" x14ac:dyDescent="0.3">
      <c r="B107" s="18" t="s">
        <v>945</v>
      </c>
      <c r="G107" s="18"/>
      <c r="H107" s="23"/>
      <c r="I107" s="67">
        <f>F103</f>
        <v>0</v>
      </c>
    </row>
    <row r="108" spans="1:9" ht="13.8" thickTop="1" x14ac:dyDescent="0.25"/>
    <row r="109" spans="1:9" x14ac:dyDescent="0.25">
      <c r="A109" s="17" t="s">
        <v>936</v>
      </c>
      <c r="B109" s="279"/>
      <c r="C109" s="280"/>
      <c r="D109" s="281"/>
      <c r="I109" s="20">
        <f>I124</f>
        <v>0</v>
      </c>
    </row>
    <row r="111" spans="1:9" x14ac:dyDescent="0.25">
      <c r="B111" s="21" t="s">
        <v>937</v>
      </c>
      <c r="H111" s="64"/>
    </row>
    <row r="113" spans="1:9" x14ac:dyDescent="0.25">
      <c r="B113" s="21" t="s">
        <v>938</v>
      </c>
      <c r="H113" s="64"/>
    </row>
    <row r="115" spans="1:9" x14ac:dyDescent="0.25">
      <c r="B115" s="21" t="s">
        <v>939</v>
      </c>
    </row>
    <row r="116" spans="1:9" x14ac:dyDescent="0.25">
      <c r="B116" s="21" t="s">
        <v>940</v>
      </c>
      <c r="H116" s="64"/>
    </row>
    <row r="118" spans="1:9" x14ac:dyDescent="0.25">
      <c r="B118" s="22" t="s">
        <v>941</v>
      </c>
    </row>
    <row r="120" spans="1:9" x14ac:dyDescent="0.25">
      <c r="B120" s="27">
        <f>H116</f>
        <v>0</v>
      </c>
      <c r="C120" s="26" t="s">
        <v>942</v>
      </c>
      <c r="D120" s="18">
        <f>H111</f>
        <v>0</v>
      </c>
      <c r="E120" s="18" t="s">
        <v>943</v>
      </c>
      <c r="F120" s="18">
        <f>B120/B121*D120</f>
        <v>0</v>
      </c>
      <c r="G120" s="20"/>
    </row>
    <row r="121" spans="1:9" x14ac:dyDescent="0.25">
      <c r="B121" s="18">
        <f>H113+0.00000001</f>
        <v>1E-8</v>
      </c>
      <c r="G121" s="18"/>
    </row>
    <row r="122" spans="1:9" x14ac:dyDescent="0.25">
      <c r="G122" s="18"/>
    </row>
    <row r="123" spans="1:9" ht="13.8" thickBot="1" x14ac:dyDescent="0.3">
      <c r="B123" s="18" t="s">
        <v>944</v>
      </c>
      <c r="G123" s="18">
        <f>H123</f>
        <v>0</v>
      </c>
      <c r="H123" s="67">
        <f>H111-F120</f>
        <v>0</v>
      </c>
    </row>
    <row r="124" spans="1:9" ht="14.4" thickTop="1" thickBot="1" x14ac:dyDescent="0.3">
      <c r="B124" s="18" t="s">
        <v>945</v>
      </c>
      <c r="G124" s="18"/>
      <c r="H124" s="23"/>
      <c r="I124" s="67">
        <f>F120</f>
        <v>0</v>
      </c>
    </row>
    <row r="125" spans="1:9" ht="13.8" thickTop="1" x14ac:dyDescent="0.25"/>
    <row r="126" spans="1:9" x14ac:dyDescent="0.25">
      <c r="A126" s="17" t="s">
        <v>936</v>
      </c>
      <c r="B126" s="279"/>
      <c r="C126" s="280"/>
      <c r="D126" s="281"/>
      <c r="I126" s="20">
        <f>I141</f>
        <v>0</v>
      </c>
    </row>
    <row r="128" spans="1:9" x14ac:dyDescent="0.25">
      <c r="B128" s="21" t="s">
        <v>937</v>
      </c>
      <c r="H128" s="64"/>
    </row>
    <row r="130" spans="1:9" x14ac:dyDescent="0.25">
      <c r="B130" s="21" t="s">
        <v>938</v>
      </c>
      <c r="H130" s="64"/>
    </row>
    <row r="132" spans="1:9" x14ac:dyDescent="0.25">
      <c r="B132" s="21" t="s">
        <v>939</v>
      </c>
    </row>
    <row r="133" spans="1:9" x14ac:dyDescent="0.25">
      <c r="B133" s="21" t="s">
        <v>940</v>
      </c>
      <c r="H133" s="64"/>
    </row>
    <row r="135" spans="1:9" x14ac:dyDescent="0.25">
      <c r="B135" s="22" t="s">
        <v>941</v>
      </c>
    </row>
    <row r="137" spans="1:9" x14ac:dyDescent="0.25">
      <c r="B137" s="27">
        <f>H133</f>
        <v>0</v>
      </c>
      <c r="C137" s="26" t="s">
        <v>942</v>
      </c>
      <c r="D137" s="18">
        <f>H128</f>
        <v>0</v>
      </c>
      <c r="E137" s="18" t="s">
        <v>943</v>
      </c>
      <c r="F137" s="18">
        <f>B137/B138*D137</f>
        <v>0</v>
      </c>
      <c r="G137" s="20"/>
    </row>
    <row r="138" spans="1:9" x14ac:dyDescent="0.25">
      <c r="B138" s="18">
        <f>H130+0.00000001</f>
        <v>1E-8</v>
      </c>
      <c r="G138" s="18"/>
    </row>
    <row r="139" spans="1:9" x14ac:dyDescent="0.25">
      <c r="G139" s="18"/>
    </row>
    <row r="140" spans="1:9" ht="13.8" thickBot="1" x14ac:dyDescent="0.3">
      <c r="B140" s="18" t="s">
        <v>944</v>
      </c>
      <c r="G140" s="18">
        <f>H140</f>
        <v>0</v>
      </c>
      <c r="H140" s="67">
        <f>H128-F137</f>
        <v>0</v>
      </c>
    </row>
    <row r="141" spans="1:9" ht="14.4" thickTop="1" thickBot="1" x14ac:dyDescent="0.3">
      <c r="B141" s="18" t="s">
        <v>945</v>
      </c>
      <c r="G141" s="18"/>
      <c r="H141" s="23"/>
      <c r="I141" s="67">
        <f>F137</f>
        <v>0</v>
      </c>
    </row>
    <row r="142" spans="1:9" ht="13.8" thickTop="1" x14ac:dyDescent="0.25"/>
    <row r="143" spans="1:9" x14ac:dyDescent="0.25">
      <c r="A143" s="17" t="s">
        <v>936</v>
      </c>
      <c r="B143" s="279"/>
      <c r="C143" s="280"/>
      <c r="D143" s="281"/>
      <c r="I143" s="20">
        <f>I158</f>
        <v>0</v>
      </c>
    </row>
    <row r="145" spans="1:9" x14ac:dyDescent="0.25">
      <c r="B145" s="21" t="s">
        <v>937</v>
      </c>
      <c r="H145" s="64"/>
    </row>
    <row r="147" spans="1:9" x14ac:dyDescent="0.25">
      <c r="B147" s="21" t="s">
        <v>938</v>
      </c>
      <c r="H147" s="64"/>
    </row>
    <row r="149" spans="1:9" x14ac:dyDescent="0.25">
      <c r="B149" s="21" t="s">
        <v>939</v>
      </c>
    </row>
    <row r="150" spans="1:9" x14ac:dyDescent="0.25">
      <c r="B150" s="21" t="s">
        <v>940</v>
      </c>
      <c r="H150" s="64"/>
    </row>
    <row r="152" spans="1:9" x14ac:dyDescent="0.25">
      <c r="B152" s="22" t="s">
        <v>941</v>
      </c>
    </row>
    <row r="154" spans="1:9" x14ac:dyDescent="0.25">
      <c r="B154" s="27">
        <f>H150</f>
        <v>0</v>
      </c>
      <c r="C154" s="26" t="s">
        <v>942</v>
      </c>
      <c r="D154" s="18">
        <f>H145</f>
        <v>0</v>
      </c>
      <c r="E154" s="18" t="s">
        <v>943</v>
      </c>
      <c r="F154" s="18">
        <f>B154/B155*D154</f>
        <v>0</v>
      </c>
      <c r="G154" s="20"/>
    </row>
    <row r="155" spans="1:9" x14ac:dyDescent="0.25">
      <c r="B155" s="18">
        <f>H147+0.00000001</f>
        <v>1E-8</v>
      </c>
      <c r="G155" s="18"/>
    </row>
    <row r="156" spans="1:9" x14ac:dyDescent="0.25">
      <c r="G156" s="18"/>
    </row>
    <row r="157" spans="1:9" ht="13.8" thickBot="1" x14ac:dyDescent="0.3">
      <c r="B157" s="18" t="s">
        <v>944</v>
      </c>
      <c r="G157" s="18">
        <f>H157</f>
        <v>0</v>
      </c>
      <c r="H157" s="67">
        <f>H145-F154</f>
        <v>0</v>
      </c>
    </row>
    <row r="158" spans="1:9" ht="14.4" thickTop="1" thickBot="1" x14ac:dyDescent="0.3">
      <c r="B158" s="18" t="s">
        <v>945</v>
      </c>
      <c r="G158" s="18"/>
      <c r="H158" s="23"/>
      <c r="I158" s="67">
        <f>F154</f>
        <v>0</v>
      </c>
    </row>
    <row r="159" spans="1:9" ht="13.8" thickTop="1" x14ac:dyDescent="0.25"/>
    <row r="160" spans="1:9" x14ac:dyDescent="0.25">
      <c r="A160" s="17" t="s">
        <v>936</v>
      </c>
      <c r="B160" s="279"/>
      <c r="C160" s="280"/>
      <c r="D160" s="281"/>
      <c r="I160" s="20">
        <f>I175</f>
        <v>0</v>
      </c>
    </row>
    <row r="162" spans="2:9" x14ac:dyDescent="0.25">
      <c r="B162" s="21" t="s">
        <v>937</v>
      </c>
      <c r="H162" s="64"/>
    </row>
    <row r="164" spans="2:9" x14ac:dyDescent="0.25">
      <c r="B164" s="21" t="s">
        <v>938</v>
      </c>
      <c r="H164" s="64"/>
    </row>
    <row r="166" spans="2:9" x14ac:dyDescent="0.25">
      <c r="B166" s="21" t="s">
        <v>939</v>
      </c>
    </row>
    <row r="167" spans="2:9" x14ac:dyDescent="0.25">
      <c r="B167" s="21" t="s">
        <v>940</v>
      </c>
      <c r="H167" s="64"/>
    </row>
    <row r="169" spans="2:9" x14ac:dyDescent="0.25">
      <c r="B169" s="22" t="s">
        <v>941</v>
      </c>
    </row>
    <row r="171" spans="2:9" x14ac:dyDescent="0.25">
      <c r="B171" s="27">
        <f>H167</f>
        <v>0</v>
      </c>
      <c r="C171" s="26" t="s">
        <v>942</v>
      </c>
      <c r="D171" s="18">
        <f>H162</f>
        <v>0</v>
      </c>
      <c r="E171" s="18" t="s">
        <v>943</v>
      </c>
      <c r="F171" s="18">
        <f>B171/B172*D171</f>
        <v>0</v>
      </c>
      <c r="G171" s="20"/>
    </row>
    <row r="172" spans="2:9" x14ac:dyDescent="0.25">
      <c r="B172" s="18">
        <f>H164+0.00000001</f>
        <v>1E-8</v>
      </c>
      <c r="G172" s="18"/>
    </row>
    <row r="173" spans="2:9" x14ac:dyDescent="0.25">
      <c r="G173" s="18"/>
    </row>
    <row r="174" spans="2:9" ht="13.8" thickBot="1" x14ac:dyDescent="0.3">
      <c r="B174" s="18" t="s">
        <v>944</v>
      </c>
      <c r="G174" s="18">
        <f>H174</f>
        <v>0</v>
      </c>
      <c r="H174" s="67">
        <f>H162-F171</f>
        <v>0</v>
      </c>
    </row>
    <row r="175" spans="2:9" ht="14.4" thickTop="1" thickBot="1" x14ac:dyDescent="0.3">
      <c r="B175" s="18" t="s">
        <v>945</v>
      </c>
      <c r="G175" s="18"/>
      <c r="H175" s="23"/>
      <c r="I175" s="67">
        <f>F171</f>
        <v>0</v>
      </c>
    </row>
    <row r="176" spans="2:9" ht="13.8" thickTop="1" x14ac:dyDescent="0.25"/>
    <row r="177" spans="2:9" x14ac:dyDescent="0.25">
      <c r="C177" s="24"/>
      <c r="D177" s="24"/>
      <c r="E177" s="24"/>
      <c r="F177" s="24"/>
      <c r="G177" s="25"/>
      <c r="H177" s="24"/>
      <c r="I177" s="24"/>
    </row>
    <row r="178" spans="2:9" x14ac:dyDescent="0.25">
      <c r="B178" s="24" t="s">
        <v>946</v>
      </c>
      <c r="G178" s="18"/>
      <c r="H178" s="75">
        <f>SUM(G:G)</f>
        <v>0</v>
      </c>
    </row>
    <row r="179" spans="2:9" x14ac:dyDescent="0.25">
      <c r="B179" s="24" t="s">
        <v>947</v>
      </c>
      <c r="G179" s="18"/>
      <c r="H179" s="75">
        <f>SUM(F:F)</f>
        <v>0</v>
      </c>
    </row>
  </sheetData>
  <mergeCells count="11">
    <mergeCell ref="B160:D160"/>
    <mergeCell ref="F3:W3"/>
    <mergeCell ref="B7:D7"/>
    <mergeCell ref="B24:D24"/>
    <mergeCell ref="B41:D41"/>
    <mergeCell ref="B58:D58"/>
    <mergeCell ref="B75:D75"/>
    <mergeCell ref="B92:D92"/>
    <mergeCell ref="B109:D109"/>
    <mergeCell ref="B126:D126"/>
    <mergeCell ref="B143:D143"/>
  </mergeCells>
  <dataValidations disablePrompts="1" count="1">
    <dataValidation type="list" allowBlank="1" showInputMessage="1" showErrorMessage="1" sqref="B24:D24 B160:D160 B143:D143 B126:D126 B109:D109 B92:D92 B75:D75 B58:D58 B41:D41" xr:uid="{00000000-0002-0000-1400-000000000000}">
      <formula1>$B$1:$B$51</formula1>
    </dataValidation>
  </dataValidation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400-000001000000}">
          <x14:formula1>
            <xm:f>Lists!$B$1:$B$51</xm:f>
          </x14:formula1>
          <xm:sqref>B7:D7</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G17"/>
  <sheetViews>
    <sheetView workbookViewId="0">
      <selection activeCell="D16" sqref="D16"/>
    </sheetView>
  </sheetViews>
  <sheetFormatPr defaultRowHeight="14.4" x14ac:dyDescent="0.3"/>
  <cols>
    <col min="1" max="1" width="29.6640625" bestFit="1" customWidth="1"/>
    <col min="2" max="2" width="9.109375" bestFit="1" customWidth="1"/>
    <col min="6" max="6" width="11.33203125" customWidth="1"/>
  </cols>
  <sheetData>
    <row r="1" spans="1:7" x14ac:dyDescent="0.3">
      <c r="B1" s="4" t="s">
        <v>0</v>
      </c>
      <c r="D1" s="4" t="s">
        <v>2</v>
      </c>
      <c r="F1" s="4" t="s">
        <v>265</v>
      </c>
    </row>
    <row r="2" spans="1:7" x14ac:dyDescent="0.3">
      <c r="A2" s="49" t="s">
        <v>948</v>
      </c>
      <c r="B2" s="110">
        <f>IF('Schedule C - 1'!A4="T",'Schedule C - 1'!Q58,0)+0.5*IF('Schedule C - 1'!A4="J",'Schedule C - 1'!Q58,0)+IF('Schedule C - 2'!A4="T",'Schedule C - 2'!Q58,0)+0.5*IF('Schedule C - 2'!A4="J",'Schedule C - 2'!Q58,0)+IF('Schedule C - 3'!A4="T",'Schedule C - 3'!Q58,0)+0.5*IF('Schedule C - 3'!A4="J",'Schedule C - 3'!Q58,0)</f>
        <v>0</v>
      </c>
      <c r="D2" s="99">
        <f>IF('Schedule C - 1'!A4="S",'Schedule C - 1'!Q58,0)+0.5*IF('Schedule C - 1'!A4="J",'Schedule C - 1'!Q58,0)+IF('Schedule C - 2'!A4="S",'Schedule C - 2'!Q58,0)+0.5*IF('Schedule C - 2'!A4="J",'Schedule C - 2'!Q58,0)+IF('Schedule C - 3'!A4="S",'Schedule C - 3'!Q58,0)+0.5*IF('Schedule C - 3'!A4="J",'Schedule C - 3'!Q58,0)</f>
        <v>0</v>
      </c>
    </row>
    <row r="3" spans="1:7" x14ac:dyDescent="0.3">
      <c r="A3" s="49" t="s">
        <v>949</v>
      </c>
      <c r="B3" s="105">
        <f>SUMIF('Schedule E -K-1 Summary'!E12:N12,"T",'Schedule E -K-1 Summary'!E46:N46)+0.5*SUMIF('Schedule E -K-1 Summary'!E12:N12,"J",'Schedule E -K-1 Summary'!E46:N46)</f>
        <v>0</v>
      </c>
      <c r="D3" s="104">
        <f>SUMIF('Schedule E -K-1 Summary'!E12:N12,"S",'Schedule E -K-1 Summary'!E46:N46)+0.5*SUMIF('Schedule E -K-1 Summary'!E12:N12,"J",'Schedule E -K-1 Summary'!E46:N46)</f>
        <v>0</v>
      </c>
    </row>
    <row r="4" spans="1:7" x14ac:dyDescent="0.3">
      <c r="A4" s="49" t="s">
        <v>950</v>
      </c>
      <c r="B4" s="110">
        <f>IF('Schedule F 1'!A1,"T",'Schedule F 1'!Q60)+0.5*IF('Schedule F 1'!A1,"J",'Schedule F 1'!Q60)+IF('Schedule F 2'!A1,"T",'Schedule F 2'!Q60)+0.5*IF('Schedule F 2'!A1,"J",'Schedule F 2'!Q60)</f>
        <v>0</v>
      </c>
      <c r="D4" s="99">
        <f>IF('Schedule F 1'!A1,"S",'Schedule F 1'!Q60)+0.5*IF('Schedule F 1'!A1,"J",'Schedule F 1'!Q60)+IF('Schedule F 2'!A1,"S",'Schedule F 2'!Q60)+0.5*IF('Schedule F 2'!A1,"J",'Schedule F 2'!Q60)</f>
        <v>0</v>
      </c>
    </row>
    <row r="5" spans="1:7" x14ac:dyDescent="0.3">
      <c r="A5" s="49" t="s">
        <v>951</v>
      </c>
      <c r="B5" s="105">
        <f>SUM(B2:B4)</f>
        <v>0</v>
      </c>
      <c r="D5" s="104">
        <f>SUM(D2:D4)</f>
        <v>0</v>
      </c>
    </row>
    <row r="6" spans="1:7" ht="15" thickBot="1" x14ac:dyDescent="0.35">
      <c r="B6">
        <v>0.92349999999999999</v>
      </c>
      <c r="D6">
        <v>0.92349999999999999</v>
      </c>
    </row>
    <row r="7" spans="1:7" ht="15" thickBot="1" x14ac:dyDescent="0.35">
      <c r="A7" s="49" t="s">
        <v>952</v>
      </c>
      <c r="B7" s="147">
        <f>IF(B5&gt;0,B5*B6,B5)</f>
        <v>0</v>
      </c>
      <c r="C7" s="113" t="str">
        <f>IF(B7&lt;400,"STOP","PROCEED")</f>
        <v>STOP</v>
      </c>
      <c r="D7" s="105">
        <f>IF(D5&gt;0,D5*D6,D5)</f>
        <v>0</v>
      </c>
      <c r="E7" s="113" t="str">
        <f>IF(D7&lt;400,"STOP","PROCEED")</f>
        <v>STOP</v>
      </c>
    </row>
    <row r="9" spans="1:7" x14ac:dyDescent="0.3">
      <c r="A9" s="49" t="s">
        <v>953</v>
      </c>
      <c r="B9" s="111">
        <f>'W-2 Summary'!F1</f>
        <v>168600</v>
      </c>
      <c r="D9" s="111">
        <f>'W-2 Summary'!F1</f>
        <v>168600</v>
      </c>
    </row>
    <row r="10" spans="1:7" x14ac:dyDescent="0.3">
      <c r="A10" s="49" t="s">
        <v>954</v>
      </c>
      <c r="B10" s="105">
        <f>'W-2 Summary'!B50</f>
        <v>0</v>
      </c>
      <c r="D10" s="104">
        <f>'W-2 Summary'!C50</f>
        <v>0</v>
      </c>
    </row>
    <row r="11" spans="1:7" x14ac:dyDescent="0.3">
      <c r="A11" s="49" t="s">
        <v>955</v>
      </c>
      <c r="B11" s="105">
        <f>IF(B9-B10&gt;0,B9-B10,0)</f>
        <v>168600</v>
      </c>
      <c r="D11" s="104">
        <f>IF(D9-D10&gt;0,D9-D10,0)</f>
        <v>168600</v>
      </c>
    </row>
    <row r="13" spans="1:7" x14ac:dyDescent="0.3">
      <c r="A13" s="49" t="s">
        <v>956</v>
      </c>
      <c r="B13" s="105">
        <f>IF(C7="STOP",0,IF(B7&lt;B11,B7*0.124,B11*0.124))</f>
        <v>0</v>
      </c>
      <c r="D13" s="105">
        <f>IF(E7="STOP",0,IF(D7&lt;D11,D7*0.124,D11*0.124))</f>
        <v>0</v>
      </c>
    </row>
    <row r="14" spans="1:7" x14ac:dyDescent="0.3">
      <c r="A14" s="49" t="s">
        <v>957</v>
      </c>
      <c r="B14" s="104">
        <f>IF(C7="STOP",0,B7*0.029)</f>
        <v>0</v>
      </c>
      <c r="D14" s="104">
        <f>IF(E7="STOP",0,D7*0.029)</f>
        <v>0</v>
      </c>
    </row>
    <row r="15" spans="1:7" x14ac:dyDescent="0.3">
      <c r="B15" s="112"/>
      <c r="D15" s="112"/>
    </row>
    <row r="16" spans="1:7" x14ac:dyDescent="0.3">
      <c r="A16" s="49" t="s">
        <v>958</v>
      </c>
      <c r="B16" s="104">
        <f>B13+B14</f>
        <v>0</v>
      </c>
      <c r="D16" s="104">
        <f>D13+D14</f>
        <v>0</v>
      </c>
      <c r="F16" s="100">
        <f>B16+D16</f>
        <v>0</v>
      </c>
      <c r="G16" t="s">
        <v>959</v>
      </c>
    </row>
    <row r="17" spans="1:7" x14ac:dyDescent="0.3">
      <c r="A17" s="49" t="s">
        <v>960</v>
      </c>
      <c r="B17" s="104">
        <f>B16/2</f>
        <v>0</v>
      </c>
      <c r="D17" s="104">
        <f>D16/2</f>
        <v>0</v>
      </c>
      <c r="F17" s="100">
        <f>B17+D17</f>
        <v>0</v>
      </c>
      <c r="G17" t="s">
        <v>961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G48"/>
  <sheetViews>
    <sheetView workbookViewId="0">
      <selection activeCell="B1" sqref="B1"/>
    </sheetView>
  </sheetViews>
  <sheetFormatPr defaultRowHeight="14.4" x14ac:dyDescent="0.3"/>
  <cols>
    <col min="1" max="1" width="29.33203125" bestFit="1" customWidth="1"/>
    <col min="2" max="2" width="10" bestFit="1" customWidth="1"/>
    <col min="3" max="3" width="11.44140625" customWidth="1"/>
    <col min="4" max="4" width="20.33203125" bestFit="1" customWidth="1"/>
    <col min="6" max="6" width="21.33203125" bestFit="1" customWidth="1"/>
    <col min="7" max="7" width="8.5546875" bestFit="1" customWidth="1"/>
  </cols>
  <sheetData>
    <row r="1" spans="1:7" x14ac:dyDescent="0.3">
      <c r="A1" t="s">
        <v>797</v>
      </c>
      <c r="B1" s="99"/>
    </row>
    <row r="2" spans="1:7" x14ac:dyDescent="0.3">
      <c r="A2" t="s">
        <v>962</v>
      </c>
      <c r="B2" s="99"/>
      <c r="F2" t="s">
        <v>963</v>
      </c>
      <c r="G2" s="124">
        <v>200000</v>
      </c>
    </row>
    <row r="3" spans="1:7" x14ac:dyDescent="0.3">
      <c r="A3" t="s">
        <v>964</v>
      </c>
      <c r="B3" s="126" t="e">
        <f>VLOOKUP(B1,F2:G6,2,G2:G6)</f>
        <v>#N/A</v>
      </c>
      <c r="F3" t="s">
        <v>965</v>
      </c>
      <c r="G3" s="124">
        <v>250000</v>
      </c>
    </row>
    <row r="4" spans="1:7" x14ac:dyDescent="0.3">
      <c r="A4" t="s">
        <v>854</v>
      </c>
      <c r="C4" s="123" t="e">
        <f>IF(B2-B3&gt;0,B2-B3,0)</f>
        <v>#N/A</v>
      </c>
      <c r="F4" t="s">
        <v>966</v>
      </c>
      <c r="G4" s="124">
        <v>125000</v>
      </c>
    </row>
    <row r="5" spans="1:7" x14ac:dyDescent="0.3">
      <c r="F5" t="s">
        <v>967</v>
      </c>
      <c r="G5" s="124">
        <v>250000</v>
      </c>
    </row>
    <row r="6" spans="1:7" x14ac:dyDescent="0.3">
      <c r="A6" s="2" t="s">
        <v>968</v>
      </c>
      <c r="F6" t="s">
        <v>798</v>
      </c>
      <c r="G6" s="124">
        <v>200000</v>
      </c>
    </row>
    <row r="7" spans="1:7" x14ac:dyDescent="0.3">
      <c r="A7" t="s">
        <v>476</v>
      </c>
      <c r="B7" s="53">
        <f>'Brokerage Summary (Sch B, D)'!V13</f>
        <v>0</v>
      </c>
    </row>
    <row r="8" spans="1:7" x14ac:dyDescent="0.3">
      <c r="A8" t="s">
        <v>477</v>
      </c>
      <c r="B8" s="53">
        <f>'Brokerage Summary (Sch B, D)'!S35</f>
        <v>0</v>
      </c>
    </row>
    <row r="9" spans="1:7" x14ac:dyDescent="0.3">
      <c r="A9" t="s">
        <v>969</v>
      </c>
      <c r="B9" s="99"/>
    </row>
    <row r="10" spans="1:7" x14ac:dyDescent="0.3">
      <c r="A10" t="s">
        <v>970</v>
      </c>
      <c r="B10" s="53">
        <f>B48</f>
        <v>0</v>
      </c>
      <c r="C10" t="s">
        <v>971</v>
      </c>
    </row>
    <row r="11" spans="1:7" x14ac:dyDescent="0.3">
      <c r="A11" t="s">
        <v>972</v>
      </c>
      <c r="B11" s="53">
        <f>'Brokerage Summary (Sch B, D)'!D155</f>
        <v>0</v>
      </c>
    </row>
    <row r="12" spans="1:7" x14ac:dyDescent="0.3">
      <c r="A12" t="s">
        <v>973</v>
      </c>
      <c r="B12" s="53">
        <f>E48</f>
        <v>0</v>
      </c>
      <c r="C12" t="s">
        <v>974</v>
      </c>
    </row>
    <row r="13" spans="1:7" x14ac:dyDescent="0.3">
      <c r="A13" t="s">
        <v>975</v>
      </c>
      <c r="B13" s="99"/>
    </row>
    <row r="14" spans="1:7" x14ac:dyDescent="0.3">
      <c r="A14" t="s">
        <v>976</v>
      </c>
      <c r="B14" s="99"/>
    </row>
    <row r="15" spans="1:7" x14ac:dyDescent="0.3">
      <c r="C15" s="124">
        <f>SUM(B7:B14)</f>
        <v>0</v>
      </c>
    </row>
    <row r="17" spans="1:4" x14ac:dyDescent="0.3">
      <c r="A17" s="2" t="s">
        <v>977</v>
      </c>
    </row>
    <row r="18" spans="1:4" x14ac:dyDescent="0.3">
      <c r="A18" t="s">
        <v>978</v>
      </c>
      <c r="B18" s="99">
        <v>0</v>
      </c>
    </row>
    <row r="19" spans="1:4" x14ac:dyDescent="0.3">
      <c r="A19" t="s">
        <v>979</v>
      </c>
      <c r="B19" s="99"/>
    </row>
    <row r="20" spans="1:4" x14ac:dyDescent="0.3">
      <c r="A20" t="s">
        <v>980</v>
      </c>
      <c r="B20" s="99">
        <v>0</v>
      </c>
    </row>
    <row r="21" spans="1:4" x14ac:dyDescent="0.3">
      <c r="A21" t="s">
        <v>976</v>
      </c>
      <c r="B21" s="99"/>
    </row>
    <row r="22" spans="1:4" x14ac:dyDescent="0.3">
      <c r="C22" s="130">
        <f>SUM(B18:B21)</f>
        <v>0</v>
      </c>
    </row>
    <row r="24" spans="1:4" x14ac:dyDescent="0.3">
      <c r="A24" t="s">
        <v>981</v>
      </c>
      <c r="C24" s="125">
        <f>C15-C22</f>
        <v>0</v>
      </c>
    </row>
    <row r="26" spans="1:4" x14ac:dyDescent="0.3">
      <c r="A26" t="s">
        <v>982</v>
      </c>
      <c r="B26" s="124" t="e">
        <f>IF(C4&lt;C24,C4,C24)</f>
        <v>#N/A</v>
      </c>
    </row>
    <row r="27" spans="1:4" x14ac:dyDescent="0.3">
      <c r="A27" t="s">
        <v>983</v>
      </c>
      <c r="B27" s="127">
        <v>3.7999999999999999E-2</v>
      </c>
    </row>
    <row r="28" spans="1:4" ht="15" thickBot="1" x14ac:dyDescent="0.35">
      <c r="A28" t="s">
        <v>984</v>
      </c>
      <c r="B28" s="128" t="e">
        <f>B26*B27</f>
        <v>#N/A</v>
      </c>
    </row>
    <row r="29" spans="1:4" ht="15" thickTop="1" x14ac:dyDescent="0.3"/>
    <row r="32" spans="1:4" x14ac:dyDescent="0.3">
      <c r="A32" t="s">
        <v>985</v>
      </c>
      <c r="D32" t="s">
        <v>986</v>
      </c>
    </row>
    <row r="33" spans="1:5" x14ac:dyDescent="0.3">
      <c r="A33" t="s">
        <v>62</v>
      </c>
      <c r="B33" t="s">
        <v>987</v>
      </c>
      <c r="D33" t="s">
        <v>62</v>
      </c>
      <c r="E33" t="s">
        <v>987</v>
      </c>
    </row>
    <row r="34" spans="1:5" x14ac:dyDescent="0.3">
      <c r="A34" s="129"/>
      <c r="B34" s="129"/>
      <c r="D34" s="129"/>
      <c r="E34" s="129"/>
    </row>
    <row r="35" spans="1:5" x14ac:dyDescent="0.3">
      <c r="A35" s="129"/>
      <c r="B35" s="129"/>
      <c r="D35" s="129"/>
      <c r="E35" s="129"/>
    </row>
    <row r="36" spans="1:5" x14ac:dyDescent="0.3">
      <c r="A36" s="129"/>
      <c r="B36" s="129"/>
      <c r="D36" s="129"/>
      <c r="E36" s="129"/>
    </row>
    <row r="37" spans="1:5" x14ac:dyDescent="0.3">
      <c r="A37" s="129"/>
      <c r="B37" s="129"/>
      <c r="D37" s="129"/>
      <c r="E37" s="129"/>
    </row>
    <row r="38" spans="1:5" x14ac:dyDescent="0.3">
      <c r="A38" s="129"/>
      <c r="B38" s="129"/>
      <c r="D38" s="129"/>
      <c r="E38" s="129"/>
    </row>
    <row r="39" spans="1:5" x14ac:dyDescent="0.3">
      <c r="A39" s="129"/>
      <c r="B39" s="129"/>
      <c r="D39" s="129"/>
      <c r="E39" s="129"/>
    </row>
    <row r="40" spans="1:5" x14ac:dyDescent="0.3">
      <c r="A40" s="129"/>
      <c r="B40" s="129"/>
      <c r="D40" s="129"/>
      <c r="E40" s="129"/>
    </row>
    <row r="41" spans="1:5" x14ac:dyDescent="0.3">
      <c r="A41" s="129"/>
      <c r="B41" s="129"/>
      <c r="D41" s="129"/>
      <c r="E41" s="129"/>
    </row>
    <row r="42" spans="1:5" x14ac:dyDescent="0.3">
      <c r="A42" s="129"/>
      <c r="B42" s="129"/>
      <c r="D42" s="129"/>
      <c r="E42" s="129"/>
    </row>
    <row r="43" spans="1:5" x14ac:dyDescent="0.3">
      <c r="A43" s="129"/>
      <c r="B43" s="129"/>
      <c r="D43" s="129"/>
      <c r="E43" s="129"/>
    </row>
    <row r="44" spans="1:5" x14ac:dyDescent="0.3">
      <c r="A44" s="129"/>
      <c r="B44" s="129"/>
      <c r="D44" s="129"/>
      <c r="E44" s="129"/>
    </row>
    <row r="45" spans="1:5" x14ac:dyDescent="0.3">
      <c r="A45" s="129"/>
      <c r="B45" s="129"/>
      <c r="D45" s="129"/>
      <c r="E45" s="129"/>
    </row>
    <row r="46" spans="1:5" x14ac:dyDescent="0.3">
      <c r="A46" s="129"/>
      <c r="B46" s="129"/>
      <c r="D46" s="129"/>
      <c r="E46" s="129"/>
    </row>
    <row r="47" spans="1:5" x14ac:dyDescent="0.3">
      <c r="A47" s="129"/>
      <c r="B47" s="129"/>
      <c r="D47" s="129"/>
      <c r="E47" s="129"/>
    </row>
    <row r="48" spans="1:5" x14ac:dyDescent="0.3">
      <c r="A48" t="s">
        <v>63</v>
      </c>
      <c r="B48">
        <f>SUM(B34:B47)</f>
        <v>0</v>
      </c>
      <c r="D48" t="s">
        <v>63</v>
      </c>
      <c r="E48">
        <f>SUM(E34:E47)</f>
        <v>0</v>
      </c>
    </row>
  </sheetData>
  <dataValidations count="1">
    <dataValidation type="list" allowBlank="1" showInputMessage="1" showErrorMessage="1" sqref="B1" xr:uid="{00000000-0002-0000-1600-000000000000}">
      <formula1>$F$2:$F$6</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U45"/>
  <sheetViews>
    <sheetView workbookViewId="0">
      <selection activeCell="X26" sqref="X26"/>
    </sheetView>
  </sheetViews>
  <sheetFormatPr defaultColWidth="8.88671875" defaultRowHeight="14.4" x14ac:dyDescent="0.3"/>
  <cols>
    <col min="1" max="1" width="5.5546875" customWidth="1"/>
    <col min="2" max="2" width="3.6640625" customWidth="1"/>
    <col min="3" max="3" width="31.33203125" customWidth="1"/>
    <col min="4" max="4" width="2.109375" customWidth="1"/>
    <col min="6" max="6" width="2.109375" customWidth="1"/>
    <col min="8" max="8" width="2.109375" customWidth="1"/>
    <col min="10" max="10" width="2.109375" customWidth="1"/>
    <col min="12" max="12" width="2.109375" customWidth="1"/>
    <col min="14" max="14" width="2.109375" customWidth="1"/>
    <col min="16" max="16" width="2.109375" customWidth="1"/>
    <col min="18" max="18" width="2.109375" customWidth="1"/>
    <col min="20" max="20" width="2.109375" customWidth="1"/>
  </cols>
  <sheetData>
    <row r="1" spans="1:21" ht="15" thickBot="1" x14ac:dyDescent="0.35">
      <c r="A1" s="90" t="s">
        <v>988</v>
      </c>
      <c r="B1" s="117"/>
      <c r="C1" s="117"/>
      <c r="E1" s="34" t="s">
        <v>989</v>
      </c>
      <c r="G1" s="132" t="s">
        <v>18</v>
      </c>
      <c r="I1" s="132" t="s">
        <v>30</v>
      </c>
      <c r="K1" s="132"/>
      <c r="L1" s="91"/>
      <c r="M1" s="132"/>
      <c r="N1" s="91"/>
      <c r="O1" s="132"/>
      <c r="P1" s="91"/>
      <c r="Q1" s="132"/>
      <c r="R1" s="91"/>
      <c r="S1" s="132"/>
      <c r="T1" s="91"/>
      <c r="U1" s="34" t="s">
        <v>265</v>
      </c>
    </row>
    <row r="3" spans="1:21" x14ac:dyDescent="0.3">
      <c r="B3" s="91" t="s">
        <v>697</v>
      </c>
      <c r="E3" s="116"/>
      <c r="F3" s="116"/>
      <c r="G3" s="116"/>
      <c r="H3" s="116"/>
      <c r="I3" s="116"/>
      <c r="J3" s="116"/>
      <c r="K3" s="116"/>
      <c r="L3" s="116"/>
      <c r="M3" s="116"/>
      <c r="N3" s="116"/>
      <c r="O3" s="116"/>
      <c r="P3" s="116"/>
      <c r="Q3" s="116"/>
      <c r="R3" s="116"/>
      <c r="S3" s="116"/>
      <c r="T3" s="116"/>
      <c r="U3" s="116"/>
    </row>
    <row r="4" spans="1:21" x14ac:dyDescent="0.3">
      <c r="C4" t="s">
        <v>990</v>
      </c>
      <c r="E4" s="104">
        <f>'W-2 Summary'!N16</f>
        <v>0</v>
      </c>
      <c r="F4" s="116"/>
      <c r="G4" s="104">
        <f>SUMIF('W-2 Summary'!$B$40:$K$40,G1,'W-2 Summary'!$B$42:$K$42)</f>
        <v>0</v>
      </c>
      <c r="H4" s="116"/>
      <c r="I4" s="136">
        <f>SUMIF('W-2 Summary'!$B$40:$K$40,I1,'W-2 Summary'!$B$42:$K$42)</f>
        <v>0</v>
      </c>
      <c r="J4" s="116"/>
      <c r="K4" s="136">
        <f>SUMIF('W-2 Summary'!$B$40:$K$40,K1,'W-2 Summary'!$B$42:$K$42)</f>
        <v>0</v>
      </c>
      <c r="L4" s="116"/>
      <c r="M4" s="136">
        <f>SUMIF('W-2 Summary'!$B$40:$K$40,M1,'W-2 Summary'!$B$42:$K$42)</f>
        <v>0</v>
      </c>
      <c r="N4" s="116"/>
      <c r="O4" s="136">
        <f>SUMIF('W-2 Summary'!$B$40:$K$40,O1,'W-2 Summary'!$B$42:$K$42)</f>
        <v>0</v>
      </c>
      <c r="P4" s="116"/>
      <c r="Q4" s="136">
        <f>SUMIF('W-2 Summary'!$B$40:$K$40,Q1,'W-2 Summary'!$B$42:$K$42)</f>
        <v>0</v>
      </c>
      <c r="R4" s="116"/>
      <c r="S4" s="136">
        <f>SUMIF('W-2 Summary'!$B$40:$K$40,S1,'W-2 Summary'!$B$42:$K$42)</f>
        <v>0</v>
      </c>
      <c r="T4" s="116"/>
      <c r="U4" s="104">
        <f>SUM(D4:T4)</f>
        <v>0</v>
      </c>
    </row>
    <row r="5" spans="1:21" x14ac:dyDescent="0.3">
      <c r="C5" t="s">
        <v>991</v>
      </c>
      <c r="E5" s="104">
        <f>'1099-R Summary'!N20</f>
        <v>0</v>
      </c>
      <c r="F5" s="116"/>
      <c r="G5" s="136">
        <f>SUMIF('1099-R Summary'!$B$33:$L$33,G1,'1099-R Summary'!$B$32:$L$32)</f>
        <v>0</v>
      </c>
      <c r="H5" s="116"/>
      <c r="I5" s="136">
        <f>SUMIF('1099-R Summary'!$B$33:$L$33,I1,'1099-R Summary'!$B$32:$L$32)</f>
        <v>0</v>
      </c>
      <c r="J5" s="116"/>
      <c r="K5" s="136">
        <f>SUMIF('1099-R Summary'!$B$33:$L$33,K1,'1099-R Summary'!$B$32:$L$32)</f>
        <v>0</v>
      </c>
      <c r="L5" s="116"/>
      <c r="M5" s="136">
        <f>SUMIF('1099-R Summary'!$B$33:$L$33,M1,'1099-R Summary'!$B$32:$L$32)</f>
        <v>0</v>
      </c>
      <c r="N5" s="116"/>
      <c r="O5" s="136">
        <f>SUMIF('1099-R Summary'!$B$33:$L$33,O1,'1099-R Summary'!$B$32:$L$32)</f>
        <v>0</v>
      </c>
      <c r="P5" s="116"/>
      <c r="Q5" s="136">
        <f>SUMIF('1099-R Summary'!$B$33:$L$33,Q1,'1099-R Summary'!$B$32:$L$32)</f>
        <v>0</v>
      </c>
      <c r="R5" s="116"/>
      <c r="S5" s="136">
        <f>SUMIF('1099-R Summary'!$B$33:$L$33,S1,'1099-R Summary'!$B$32:$L$32)</f>
        <v>0</v>
      </c>
      <c r="T5" s="116"/>
      <c r="U5" s="104">
        <f t="shared" ref="U5:U10" si="0">SUM(D5:T5)</f>
        <v>0</v>
      </c>
    </row>
    <row r="6" spans="1:21" x14ac:dyDescent="0.3">
      <c r="C6" t="s">
        <v>992</v>
      </c>
      <c r="E6" s="56"/>
      <c r="F6" s="116"/>
      <c r="G6" s="136">
        <f>SUMIF('Schedule E -K-1 Summary'!E106:N106,'Fed-State Tax Payments'!G1,'Schedule E -K-1 Summary'!E107:N107)+SUMIF('Schedule E -K-1 Summary'!E118:N118,'Fed-State Tax Payments'!G1,'Schedule E -K-1 Summary'!E119:N119)+SUMIF('Schedule E -K-1 Summary'!E124:N124,'Fed-State Tax Payments'!G1,'Schedule E -K-1 Summary'!E126:N126)+SUMIF('Schedule E -K-1 Summary'!E129:N129,'Fed-State Tax Payments'!G1,'Schedule E -K-1 Summary'!E131:N131)+SUMIF('Schedule E -K-1 Summary'!E134:N134,'Fed-State Tax Payments'!G1,'Schedule E -K-1 Summary'!E136:N136)+SUMIF('Schedule E -K-1 Summary'!E139:N139,'Fed-State Tax Payments'!G1,'Schedule E -K-1 Summary'!E141:N141)+SUMIF('Schedule E -K-1 Summary'!E144:N144,'Fed-State Tax Payments'!G1,'Schedule E -K-1 Summary'!E146:N146)+SUMIF('Schedule E -K-1 Summary'!E149:N149,'Fed-State Tax Payments'!G1,'Schedule E -K-1 Summary'!E151:N151)+SUMIF('Schedule E -K-1 Summary'!E154:N154,'Fed-State Tax Payments'!G1,'Schedule E -K-1 Summary'!E156:N156)+SUMIF('Schedule E -K-1 Summary'!E159:N159,'Fed-State Tax Payments'!G1,'Schedule E -K-1 Summary'!E161:N161)</f>
        <v>0</v>
      </c>
      <c r="H6" s="116"/>
      <c r="I6" s="136">
        <f>SUMIF('Schedule E -K-1 Summary'!E106:N106,'Fed-State Tax Payments'!I1,'Schedule E -K-1 Summary'!E107:N107)+SUMIF('Schedule E -K-1 Summary'!E118:N118,'Fed-State Tax Payments'!I1,'Schedule E -K-1 Summary'!E119:N119)+SUMIF('Schedule E -K-1 Summary'!E124:N124,'Fed-State Tax Payments'!I1,'Schedule E -K-1 Summary'!E126:N126)+SUMIF('Schedule E -K-1 Summary'!E129:N129,'Fed-State Tax Payments'!I1,'Schedule E -K-1 Summary'!E131:N131)+SUMIF('Schedule E -K-1 Summary'!E134:N134,'Fed-State Tax Payments'!I1,'Schedule E -K-1 Summary'!E136:N136)+SUMIF('Schedule E -K-1 Summary'!E139:N139,'Fed-State Tax Payments'!I1,'Schedule E -K-1 Summary'!E141:N141)+SUMIF('Schedule E -K-1 Summary'!E144:N144,'Fed-State Tax Payments'!I1,'Schedule E -K-1 Summary'!E146:N146)+SUMIF('Schedule E -K-1 Summary'!E149:N149,'Fed-State Tax Payments'!I1,'Schedule E -K-1 Summary'!E151:N151)+SUMIF('Schedule E -K-1 Summary'!E154:N154,'Fed-State Tax Payments'!I1,'Schedule E -K-1 Summary'!E156:N156)+SUMIF('Schedule E -K-1 Summary'!E159:N159,'Fed-State Tax Payments'!I1,'Schedule E -K-1 Summary'!E161:N161)</f>
        <v>0</v>
      </c>
      <c r="J6" s="116"/>
      <c r="K6" s="136">
        <f>SUMIF('Schedule E -K-1 Summary'!E106:N106,'Fed-State Tax Payments'!K1,'Schedule E -K-1 Summary'!E107:N107)+SUMIF('Schedule E -K-1 Summary'!E118:N118,'Fed-State Tax Payments'!K1,'Schedule E -K-1 Summary'!E119:N119)+SUMIF('Schedule E -K-1 Summary'!E124:N124,'Fed-State Tax Payments'!K1,'Schedule E -K-1 Summary'!E126:N126)+SUMIF('Schedule E -K-1 Summary'!E129:N129,'Fed-State Tax Payments'!K1,'Schedule E -K-1 Summary'!E131:N131)+SUMIF('Schedule E -K-1 Summary'!E134:N134,'Fed-State Tax Payments'!K1,'Schedule E -K-1 Summary'!E136:N136)+SUMIF('Schedule E -K-1 Summary'!E139:N139,'Fed-State Tax Payments'!K1,'Schedule E -K-1 Summary'!E141:N141)+SUMIF('Schedule E -K-1 Summary'!E144:N144,'Fed-State Tax Payments'!K1,'Schedule E -K-1 Summary'!E146:N146)+SUMIF('Schedule E -K-1 Summary'!E149:N149,'Fed-State Tax Payments'!K1,'Schedule E -K-1 Summary'!E151:N151)+SUMIF('Schedule E -K-1 Summary'!E154:N154,'Fed-State Tax Payments'!K1,'Schedule E -K-1 Summary'!E156:N156)+SUMIF('Schedule E -K-1 Summary'!E159:N159,'Fed-State Tax Payments'!K1,'Schedule E -K-1 Summary'!E161:N161)</f>
        <v>0</v>
      </c>
      <c r="L6" s="116"/>
      <c r="M6" s="136">
        <f>SUMIF('Schedule E -K-1 Summary'!E106:N106,'Fed-State Tax Payments'!M1,'Schedule E -K-1 Summary'!E107:N107)+SUMIF('Schedule E -K-1 Summary'!E118:N118,'Fed-State Tax Payments'!M1,'Schedule E -K-1 Summary'!E119:N119)+SUMIF('Schedule E -K-1 Summary'!E124:N124,'Fed-State Tax Payments'!M1,'Schedule E -K-1 Summary'!E126:N126)+SUMIF('Schedule E -K-1 Summary'!E129:N129,'Fed-State Tax Payments'!M1,'Schedule E -K-1 Summary'!E131:N131)+SUMIF('Schedule E -K-1 Summary'!E134:N134,'Fed-State Tax Payments'!M1,'Schedule E -K-1 Summary'!E136:N136)+SUMIF('Schedule E -K-1 Summary'!E139:N139,'Fed-State Tax Payments'!M1,'Schedule E -K-1 Summary'!E141:N141)+SUMIF('Schedule E -K-1 Summary'!E144:N144,'Fed-State Tax Payments'!M1,'Schedule E -K-1 Summary'!E146:N146)+SUMIF('Schedule E -K-1 Summary'!E149:N149,'Fed-State Tax Payments'!M1,'Schedule E -K-1 Summary'!E151:N151)+SUMIF('Schedule E -K-1 Summary'!E154:N154,'Fed-State Tax Payments'!M1,'Schedule E -K-1 Summary'!E156:N156)+SUMIF('Schedule E -K-1 Summary'!E159:N159,'Fed-State Tax Payments'!M1,'Schedule E -K-1 Summary'!E161:N161)</f>
        <v>0</v>
      </c>
      <c r="N6" s="116"/>
      <c r="O6" s="136">
        <f>SUMIF('Schedule E -K-1 Summary'!E106:N106,'Fed-State Tax Payments'!O1,'Schedule E -K-1 Summary'!E107:N107)+SUMIF('Schedule E -K-1 Summary'!E118:N118,'Fed-State Tax Payments'!O1,'Schedule E -K-1 Summary'!E119:N119)+SUMIF('Schedule E -K-1 Summary'!E124:N124,'Fed-State Tax Payments'!O1,'Schedule E -K-1 Summary'!E126:N126)+SUMIF('Schedule E -K-1 Summary'!E129:N129,'Fed-State Tax Payments'!O1,'Schedule E -K-1 Summary'!E131:N131)+SUMIF('Schedule E -K-1 Summary'!E134:N134,'Fed-State Tax Payments'!O1,'Schedule E -K-1 Summary'!E136:N136)+SUMIF('Schedule E -K-1 Summary'!E139:N139,'Fed-State Tax Payments'!O1,'Schedule E -K-1 Summary'!E141:N141)+SUMIF('Schedule E -K-1 Summary'!E144:N144,'Fed-State Tax Payments'!O1,'Schedule E -K-1 Summary'!E146:N146)+SUMIF('Schedule E -K-1 Summary'!E149:N149,'Fed-State Tax Payments'!O1,'Schedule E -K-1 Summary'!E151:N151)+SUMIF('Schedule E -K-1 Summary'!E154:N154,'Fed-State Tax Payments'!O1,'Schedule E -K-1 Summary'!E156:N156)+SUMIF('Schedule E -K-1 Summary'!E159:N159,'Fed-State Tax Payments'!O1,'Schedule E -K-1 Summary'!E161:N161)</f>
        <v>0</v>
      </c>
      <c r="P6" s="116"/>
      <c r="Q6" s="136">
        <f>SUMIF('Schedule E -K-1 Summary'!E106:N106,'Fed-State Tax Payments'!Q1,'Schedule E -K-1 Summary'!E107:N107)+SUMIF('Schedule E -K-1 Summary'!E118:N118,'Fed-State Tax Payments'!Q1,'Schedule E -K-1 Summary'!E119:N119)+SUMIF('Schedule E -K-1 Summary'!E124:N124,'Fed-State Tax Payments'!Q1,'Schedule E -K-1 Summary'!E126:N126)+SUMIF('Schedule E -K-1 Summary'!E129:N129,'Fed-State Tax Payments'!Q1,'Schedule E -K-1 Summary'!E131:N131)+SUMIF('Schedule E -K-1 Summary'!E134:N134,'Fed-State Tax Payments'!Q1,'Schedule E -K-1 Summary'!E136:N136)+SUMIF('Schedule E -K-1 Summary'!E139:N139,'Fed-State Tax Payments'!Q1,'Schedule E -K-1 Summary'!E141:N141)+SUMIF('Schedule E -K-1 Summary'!E144:N144,'Fed-State Tax Payments'!Q1,'Schedule E -K-1 Summary'!E146:N146)+SUMIF('Schedule E -K-1 Summary'!E149:N149,'Fed-State Tax Payments'!Q1,'Schedule E -K-1 Summary'!E151:N151)+SUMIF('Schedule E -K-1 Summary'!E154:N154,'Fed-State Tax Payments'!Q1,'Schedule E -K-1 Summary'!E156:N156)+SUMIF('Schedule E -K-1 Summary'!E159:N159,'Fed-State Tax Payments'!Q1,'Schedule E -K-1 Summary'!E161:N161)</f>
        <v>0</v>
      </c>
      <c r="R6" s="116"/>
      <c r="S6" s="136">
        <f>SUMIF('Schedule E -K-1 Summary'!E106:N106,'Fed-State Tax Payments'!S1,'Schedule E -K-1 Summary'!E107:N107)+SUMIF('Schedule E -K-1 Summary'!E118:N118,'Fed-State Tax Payments'!S1,'Schedule E -K-1 Summary'!E119:N119)+SUMIF('Schedule E -K-1 Summary'!E124:N124,'Fed-State Tax Payments'!S1,'Schedule E -K-1 Summary'!E126:N126)+SUMIF('Schedule E -K-1 Summary'!E129:N129,'Fed-State Tax Payments'!S1,'Schedule E -K-1 Summary'!E131:N131)+SUMIF('Schedule E -K-1 Summary'!E134:N134,'Fed-State Tax Payments'!S1,'Schedule E -K-1 Summary'!E136:N136)+SUMIF('Schedule E -K-1 Summary'!E139:N139,'Fed-State Tax Payments'!S1,'Schedule E -K-1 Summary'!E141:N141)+SUMIF('Schedule E -K-1 Summary'!E144:N144,'Fed-State Tax Payments'!S1,'Schedule E -K-1 Summary'!E146:N146)+SUMIF('Schedule E -K-1 Summary'!E149:N149,'Fed-State Tax Payments'!S1,'Schedule E -K-1 Summary'!E151:N151)+SUMIF('Schedule E -K-1 Summary'!E154:N154,'Fed-State Tax Payments'!S1,'Schedule E -K-1 Summary'!E156:N156)+SUMIF('Schedule E -K-1 Summary'!E159:N159,'Fed-State Tax Payments'!S1,'Schedule E -K-1 Summary'!E161:N161)</f>
        <v>0</v>
      </c>
      <c r="T6" s="116"/>
      <c r="U6" s="104"/>
    </row>
    <row r="7" spans="1:21" x14ac:dyDescent="0.3">
      <c r="C7" t="s">
        <v>993</v>
      </c>
      <c r="E7" s="104">
        <f>'W-2 Summary'!D54</f>
        <v>0</v>
      </c>
      <c r="F7" s="116"/>
      <c r="G7" s="120"/>
      <c r="H7" s="119"/>
      <c r="I7" s="120"/>
      <c r="J7" s="119"/>
      <c r="K7" s="120"/>
      <c r="L7" s="119"/>
      <c r="M7" s="120"/>
      <c r="N7" s="119"/>
      <c r="O7" s="120"/>
      <c r="P7" s="119"/>
      <c r="Q7" s="120"/>
      <c r="R7" s="119"/>
      <c r="S7" s="120"/>
      <c r="T7" s="116"/>
      <c r="U7" s="104">
        <f>SUM(D7:T7)</f>
        <v>0</v>
      </c>
    </row>
    <row r="8" spans="1:21" x14ac:dyDescent="0.3">
      <c r="C8" t="s">
        <v>994</v>
      </c>
      <c r="E8" s="104">
        <f>'W-2 Summary'!B61</f>
        <v>0</v>
      </c>
      <c r="F8" s="116"/>
      <c r="G8" s="120"/>
      <c r="H8" s="119"/>
      <c r="I8" s="120"/>
      <c r="J8" s="119"/>
      <c r="K8" s="120"/>
      <c r="L8" s="119"/>
      <c r="M8" s="120"/>
      <c r="N8" s="119"/>
      <c r="O8" s="120"/>
      <c r="P8" s="119"/>
      <c r="Q8" s="120"/>
      <c r="R8" s="119"/>
      <c r="S8" s="120"/>
      <c r="T8" s="116"/>
      <c r="U8" s="104">
        <f>SUM(D8:T8)</f>
        <v>0</v>
      </c>
    </row>
    <row r="9" spans="1:21" x14ac:dyDescent="0.3">
      <c r="C9" t="s">
        <v>995</v>
      </c>
      <c r="E9" s="104">
        <f>'Social Security'!F12</f>
        <v>0</v>
      </c>
      <c r="F9" s="116"/>
      <c r="G9" s="120"/>
      <c r="H9" s="119"/>
      <c r="I9" s="120"/>
      <c r="J9" s="119"/>
      <c r="K9" s="120"/>
      <c r="L9" s="119"/>
      <c r="M9" s="120"/>
      <c r="N9" s="119"/>
      <c r="O9" s="120"/>
      <c r="P9" s="119"/>
      <c r="Q9" s="120"/>
      <c r="R9" s="119"/>
      <c r="S9" s="120"/>
      <c r="T9" s="116"/>
      <c r="U9" s="104">
        <f>SUM(D9:T9)</f>
        <v>0</v>
      </c>
    </row>
    <row r="10" spans="1:21" x14ac:dyDescent="0.3">
      <c r="C10" t="s">
        <v>906</v>
      </c>
      <c r="E10" s="56"/>
      <c r="F10" s="116"/>
      <c r="G10" s="56"/>
      <c r="H10" s="116"/>
      <c r="I10" s="56"/>
      <c r="J10" s="116"/>
      <c r="K10" s="56"/>
      <c r="L10" s="116"/>
      <c r="M10" s="56"/>
      <c r="N10" s="116"/>
      <c r="O10" s="56"/>
      <c r="P10" s="116"/>
      <c r="Q10" s="56"/>
      <c r="R10" s="116"/>
      <c r="S10" s="56"/>
      <c r="T10" s="116"/>
      <c r="U10" s="104">
        <f t="shared" si="0"/>
        <v>0</v>
      </c>
    </row>
    <row r="11" spans="1:21" x14ac:dyDescent="0.3">
      <c r="E11" s="104">
        <f>SUM(E4:E10)</f>
        <v>0</v>
      </c>
      <c r="F11" s="116"/>
      <c r="G11" s="104">
        <f>SUM(G4:G10)</f>
        <v>0</v>
      </c>
      <c r="H11" s="116"/>
      <c r="I11" s="104">
        <f>SUM(I4:I10)</f>
        <v>0</v>
      </c>
      <c r="J11" s="116"/>
      <c r="K11" s="104">
        <f>SUM(K4:K10)</f>
        <v>0</v>
      </c>
      <c r="L11" s="116"/>
      <c r="M11" s="104">
        <f>SUM(M4:M10)</f>
        <v>0</v>
      </c>
      <c r="N11" s="116"/>
      <c r="O11" s="104">
        <f>SUM(O4:O10)</f>
        <v>0</v>
      </c>
      <c r="P11" s="116"/>
      <c r="Q11" s="104">
        <f>SUM(Q4:Q10)</f>
        <v>0</v>
      </c>
      <c r="R11" s="116"/>
      <c r="S11" s="104">
        <f>SUM(S4:S10)</f>
        <v>0</v>
      </c>
      <c r="T11" s="116"/>
      <c r="U11" s="104">
        <f>SUM(U4:U10)</f>
        <v>0</v>
      </c>
    </row>
    <row r="12" spans="1:21" x14ac:dyDescent="0.3">
      <c r="E12" s="112"/>
      <c r="F12" s="118"/>
      <c r="G12" s="112"/>
      <c r="H12" s="118"/>
      <c r="I12" s="112"/>
      <c r="J12" s="118"/>
      <c r="K12" s="112"/>
      <c r="L12" s="118"/>
      <c r="M12" s="112"/>
      <c r="N12" s="118"/>
      <c r="O12" s="112"/>
      <c r="P12" s="118"/>
      <c r="Q12" s="112"/>
      <c r="R12" s="118"/>
      <c r="S12" s="112"/>
      <c r="T12" s="118"/>
      <c r="U12" s="112"/>
    </row>
    <row r="13" spans="1:21" x14ac:dyDescent="0.3">
      <c r="B13" s="91" t="s">
        <v>996</v>
      </c>
      <c r="E13" s="116"/>
      <c r="F13" s="116"/>
      <c r="G13" s="116"/>
      <c r="H13" s="116"/>
      <c r="I13" s="116"/>
      <c r="J13" s="116"/>
      <c r="K13" s="116"/>
      <c r="L13" s="116"/>
      <c r="M13" s="116"/>
      <c r="N13" s="116"/>
      <c r="O13" s="116"/>
      <c r="P13" s="116"/>
      <c r="Q13" s="116"/>
      <c r="R13" s="116"/>
      <c r="S13" s="116"/>
      <c r="T13" s="116"/>
      <c r="U13" s="116"/>
    </row>
    <row r="14" spans="1:21" x14ac:dyDescent="0.3">
      <c r="B14" s="91"/>
      <c r="C14" t="s">
        <v>997</v>
      </c>
      <c r="E14" s="120"/>
      <c r="F14" s="116"/>
      <c r="G14" s="56"/>
      <c r="H14" s="116"/>
      <c r="I14" s="56"/>
      <c r="J14" s="116"/>
      <c r="K14" s="56"/>
      <c r="L14" s="116"/>
      <c r="M14" s="56"/>
      <c r="N14" s="116"/>
      <c r="O14" s="56"/>
      <c r="P14" s="116"/>
      <c r="Q14" s="56"/>
      <c r="R14" s="116"/>
      <c r="S14" s="56"/>
      <c r="T14" s="116"/>
      <c r="U14" s="104">
        <f>SUM(D14:T14)</f>
        <v>0</v>
      </c>
    </row>
    <row r="15" spans="1:21" x14ac:dyDescent="0.3">
      <c r="C15" t="s">
        <v>998</v>
      </c>
      <c r="E15" s="56"/>
      <c r="F15" s="116"/>
      <c r="G15" s="56"/>
      <c r="H15" s="116"/>
      <c r="I15" s="56"/>
      <c r="J15" s="116"/>
      <c r="K15" s="56"/>
      <c r="L15" s="116"/>
      <c r="M15" s="56"/>
      <c r="N15" s="116"/>
      <c r="O15" s="56"/>
      <c r="P15" s="116"/>
      <c r="Q15" s="56"/>
      <c r="R15" s="116"/>
      <c r="S15" s="56"/>
      <c r="T15" s="116"/>
      <c r="U15" s="104">
        <f>SUM(D15:T15)</f>
        <v>0</v>
      </c>
    </row>
    <row r="16" spans="1:21" x14ac:dyDescent="0.3">
      <c r="C16" t="s">
        <v>999</v>
      </c>
      <c r="E16" s="56"/>
      <c r="F16" s="116"/>
      <c r="G16" s="56"/>
      <c r="H16" s="116"/>
      <c r="I16" s="56"/>
      <c r="J16" s="116"/>
      <c r="K16" s="56"/>
      <c r="L16" s="116"/>
      <c r="M16" s="56"/>
      <c r="N16" s="116"/>
      <c r="O16" s="56"/>
      <c r="P16" s="116"/>
      <c r="Q16" s="56"/>
      <c r="R16" s="116"/>
      <c r="S16" s="56"/>
      <c r="T16" s="116"/>
      <c r="U16" s="104">
        <f>SUM(D16:T16)</f>
        <v>0</v>
      </c>
    </row>
    <row r="17" spans="1:21" x14ac:dyDescent="0.3">
      <c r="C17" t="s">
        <v>1000</v>
      </c>
      <c r="E17" s="56"/>
      <c r="F17" s="116"/>
      <c r="G17" s="56"/>
      <c r="H17" s="116"/>
      <c r="I17" s="56"/>
      <c r="J17" s="116"/>
      <c r="K17" s="56"/>
      <c r="L17" s="116"/>
      <c r="M17" s="56"/>
      <c r="N17" s="116"/>
      <c r="O17" s="56"/>
      <c r="P17" s="116"/>
      <c r="Q17" s="56"/>
      <c r="R17" s="116"/>
      <c r="S17" s="56"/>
      <c r="T17" s="116"/>
      <c r="U17" s="104">
        <f>SUM(D17:T17)</f>
        <v>0</v>
      </c>
    </row>
    <row r="18" spans="1:21" x14ac:dyDescent="0.3">
      <c r="C18" t="s">
        <v>1001</v>
      </c>
      <c r="E18" s="56"/>
      <c r="F18" s="116"/>
      <c r="G18" s="56"/>
      <c r="H18" s="116"/>
      <c r="I18" s="56"/>
      <c r="J18" s="116"/>
      <c r="K18" s="56"/>
      <c r="L18" s="116"/>
      <c r="M18" s="56"/>
      <c r="N18" s="116"/>
      <c r="O18" s="56"/>
      <c r="P18" s="116"/>
      <c r="Q18" s="56"/>
      <c r="R18" s="116"/>
      <c r="S18" s="56"/>
      <c r="T18" s="116"/>
      <c r="U18" s="104">
        <f>SUM(D18:T18)</f>
        <v>0</v>
      </c>
    </row>
    <row r="19" spans="1:21" x14ac:dyDescent="0.3">
      <c r="E19" s="104">
        <f>SUM(E15:E18)</f>
        <v>0</v>
      </c>
      <c r="F19" s="116"/>
      <c r="G19" s="104">
        <f>SUM(G14:G18)</f>
        <v>0</v>
      </c>
      <c r="H19" s="116"/>
      <c r="I19" s="104">
        <f>SUM(I14:I18)</f>
        <v>0</v>
      </c>
      <c r="J19" s="116"/>
      <c r="K19" s="104">
        <f>SUM(K14:K18)</f>
        <v>0</v>
      </c>
      <c r="L19" s="116"/>
      <c r="M19" s="104">
        <f>SUM(M14:M18)</f>
        <v>0</v>
      </c>
      <c r="N19" s="116"/>
      <c r="O19" s="104">
        <f>SUM(O14:O18)</f>
        <v>0</v>
      </c>
      <c r="P19" s="116"/>
      <c r="Q19" s="104">
        <f>SUM(Q14:Q18)</f>
        <v>0</v>
      </c>
      <c r="R19" s="116"/>
      <c r="S19" s="104">
        <f>SUM(S14:S18)</f>
        <v>0</v>
      </c>
      <c r="T19" s="116"/>
      <c r="U19" s="104">
        <f>SUM(U15:U18)</f>
        <v>0</v>
      </c>
    </row>
    <row r="20" spans="1:21" x14ac:dyDescent="0.3">
      <c r="E20" s="112"/>
      <c r="F20" s="118"/>
      <c r="G20" s="112"/>
      <c r="H20" s="118"/>
      <c r="I20" s="112"/>
      <c r="J20" s="118"/>
      <c r="K20" s="112"/>
      <c r="L20" s="118"/>
      <c r="M20" s="112"/>
      <c r="N20" s="118"/>
      <c r="O20" s="112"/>
      <c r="P20" s="118"/>
      <c r="Q20" s="112"/>
      <c r="R20" s="118"/>
      <c r="S20" s="112"/>
      <c r="T20" s="118"/>
      <c r="U20" s="112"/>
    </row>
    <row r="21" spans="1:21" x14ac:dyDescent="0.3">
      <c r="A21" s="91"/>
      <c r="B21" s="91" t="s">
        <v>1002</v>
      </c>
      <c r="E21" s="120"/>
      <c r="F21" s="116"/>
      <c r="G21" s="56"/>
      <c r="H21" s="116"/>
      <c r="I21" s="56"/>
      <c r="J21" s="116"/>
      <c r="K21" s="56"/>
      <c r="L21" s="116"/>
      <c r="M21" s="56"/>
      <c r="N21" s="116"/>
      <c r="O21" s="56"/>
      <c r="P21" s="116"/>
      <c r="Q21" s="56"/>
      <c r="R21" s="116"/>
      <c r="S21" s="56"/>
      <c r="T21" s="116"/>
      <c r="U21" s="104">
        <f>SUM(D21:T21)</f>
        <v>0</v>
      </c>
    </row>
    <row r="22" spans="1:21" x14ac:dyDescent="0.3">
      <c r="B22" s="91" t="s">
        <v>1003</v>
      </c>
      <c r="E22" s="56"/>
      <c r="F22" s="116"/>
      <c r="G22" s="56"/>
      <c r="H22" s="116"/>
      <c r="I22" s="56"/>
      <c r="J22" s="116"/>
      <c r="K22" s="56"/>
      <c r="L22" s="116"/>
      <c r="M22" s="56"/>
      <c r="N22" s="116"/>
      <c r="O22" s="56"/>
      <c r="P22" s="116"/>
      <c r="Q22" s="56"/>
      <c r="R22" s="116"/>
      <c r="S22" s="56"/>
      <c r="T22" s="116"/>
      <c r="U22" s="104">
        <f>SUM(D22:T22)</f>
        <v>0</v>
      </c>
    </row>
    <row r="23" spans="1:21" x14ac:dyDescent="0.3">
      <c r="B23" s="91"/>
      <c r="C23" t="s">
        <v>1004</v>
      </c>
      <c r="E23" s="116"/>
      <c r="F23" s="116"/>
      <c r="G23" s="56"/>
      <c r="H23" s="116"/>
      <c r="I23" s="56"/>
      <c r="J23" s="116"/>
      <c r="K23" s="56"/>
      <c r="L23" s="116"/>
      <c r="M23" s="56"/>
      <c r="N23" s="116"/>
      <c r="O23" s="56"/>
      <c r="P23" s="116"/>
      <c r="Q23" s="56"/>
      <c r="R23" s="116"/>
      <c r="S23" s="56"/>
      <c r="T23" s="116"/>
      <c r="U23" s="112"/>
    </row>
    <row r="24" spans="1:21" ht="15" thickBot="1" x14ac:dyDescent="0.35">
      <c r="E24" s="116"/>
      <c r="F24" s="116"/>
      <c r="G24" s="116"/>
      <c r="H24" s="116"/>
      <c r="I24" s="116"/>
      <c r="J24" s="116"/>
      <c r="K24" s="116"/>
      <c r="L24" s="116"/>
      <c r="M24" s="116"/>
      <c r="N24" s="116"/>
      <c r="O24" s="116"/>
      <c r="P24" s="116"/>
      <c r="Q24" s="116"/>
      <c r="R24" s="116"/>
      <c r="S24" s="116"/>
      <c r="T24" s="116"/>
      <c r="U24" s="116"/>
    </row>
    <row r="25" spans="1:21" ht="15" thickBot="1" x14ac:dyDescent="0.35">
      <c r="C25" s="91" t="s">
        <v>1005</v>
      </c>
      <c r="E25" s="116"/>
      <c r="F25" s="116"/>
      <c r="G25" s="116"/>
      <c r="H25" s="116"/>
      <c r="I25" s="116"/>
      <c r="J25" s="116"/>
      <c r="K25" s="116"/>
      <c r="L25" s="116"/>
      <c r="M25" s="116"/>
      <c r="N25" s="116"/>
      <c r="O25" s="116"/>
      <c r="P25" s="116"/>
      <c r="Q25" s="116"/>
      <c r="R25" s="116"/>
      <c r="S25" s="116"/>
      <c r="T25" s="116"/>
      <c r="U25" s="109">
        <f>SUM(G11:S11,G19:S19,G22:S22)+SUM(G23:S23)+SUM(G21:S21)</f>
        <v>0</v>
      </c>
    </row>
    <row r="26" spans="1:21" x14ac:dyDescent="0.3">
      <c r="F26" s="116"/>
      <c r="G26" s="116"/>
      <c r="H26" s="116"/>
      <c r="I26" s="116"/>
      <c r="J26" s="116"/>
      <c r="K26" s="116"/>
      <c r="L26" s="116"/>
      <c r="M26" s="116"/>
      <c r="N26" s="116"/>
      <c r="O26" s="116"/>
      <c r="P26" s="116"/>
      <c r="Q26" s="116"/>
      <c r="R26" s="116"/>
      <c r="S26" s="116"/>
      <c r="T26" s="116"/>
      <c r="U26" s="121"/>
    </row>
    <row r="27" spans="1:21" x14ac:dyDescent="0.3">
      <c r="B27" s="91" t="s">
        <v>1006</v>
      </c>
      <c r="F27" s="116"/>
      <c r="G27" s="136">
        <f>SUMIF('Schedule E -K-1 Summary'!E106:N106,'Fed-State Tax Payments'!G1,'Schedule E -K-1 Summary'!E108:N108)+SUMIF('Schedule E -K-1 Summary'!E118:N118,'Fed-State Tax Payments'!G1,'Schedule E -K-1 Summary'!E120:N120)+SUMIF('Schedule E -K-1 Summary'!E124:N124,'Fed-State Tax Payments'!G1,'Schedule E -K-1 Summary'!E127:N127)+SUMIF('Schedule E -K-1 Summary'!E129:N129,'Fed-State Tax Payments'!G1,'Schedule E -K-1 Summary'!E132:N132)+SUMIF('Schedule E -K-1 Summary'!E134:N134,'Fed-State Tax Payments'!G1,'Schedule E -K-1 Summary'!E137:N137)+SUMIF('Schedule E -K-1 Summary'!E139:N139,'Fed-State Tax Payments'!G1,'Schedule E -K-1 Summary'!E142:N142)+SUMIF('Schedule E -K-1 Summary'!E144:N144,'Fed-State Tax Payments'!G1,'Schedule E -K-1 Summary'!E147:N147)+SUMIF('Schedule E -K-1 Summary'!E149:N149,'Fed-State Tax Payments'!G1,'Schedule E -K-1 Summary'!E152:N152)+SUMIF('Schedule E -K-1 Summary'!E154:N154,'Fed-State Tax Payments'!G1,'Schedule E -K-1 Summary'!E157:N157)+SUMIF('Schedule E -K-1 Summary'!E159:N159,'Fed-State Tax Payments'!G1,'Schedule E -K-1 Summary'!E162:N162)</f>
        <v>0</v>
      </c>
      <c r="H27" s="116"/>
      <c r="I27" s="136">
        <f>SUMIF('Schedule E -K-1 Summary'!E106:N106,'Fed-State Tax Payments'!I1,'Schedule E -K-1 Summary'!E108:N108)+SUMIF('Schedule E -K-1 Summary'!E118:N118,'Fed-State Tax Payments'!I1,'Schedule E -K-1 Summary'!E120:N120)+SUMIF('Schedule E -K-1 Summary'!E124:N124,'Fed-State Tax Payments'!I1,'Schedule E -K-1 Summary'!E127:N127)+SUMIF('Schedule E -K-1 Summary'!E129:N129,'Fed-State Tax Payments'!I1,'Schedule E -K-1 Summary'!E132:N132)+SUMIF('Schedule E -K-1 Summary'!E134:N134,'Fed-State Tax Payments'!I1,'Schedule E -K-1 Summary'!E137:N137)+SUMIF('Schedule E -K-1 Summary'!E139:N139,'Fed-State Tax Payments'!I1,'Schedule E -K-1 Summary'!E142:N142)+SUMIF('Schedule E -K-1 Summary'!E144:N144,'Fed-State Tax Payments'!I1,'Schedule E -K-1 Summary'!E147:N147)+SUMIF('Schedule E -K-1 Summary'!E149:N149,'Fed-State Tax Payments'!I1,'Schedule E -K-1 Summary'!E152:N152)+SUMIF('Schedule E -K-1 Summary'!E154:N154,'Fed-State Tax Payments'!I1,'Schedule E -K-1 Summary'!E157:N157)+SUMIF('Schedule E -K-1 Summary'!E159:N159,'Fed-State Tax Payments'!I1,'Schedule E -K-1 Summary'!E162:N162)</f>
        <v>0</v>
      </c>
      <c r="J27" s="116"/>
      <c r="K27" s="136">
        <f>SUMIF('Schedule E -K-1 Summary'!E106:N106,'Fed-State Tax Payments'!K1,'Schedule E -K-1 Summary'!E108:N108)+SUMIF('Schedule E -K-1 Summary'!E118:N118,'Fed-State Tax Payments'!K1,'Schedule E -K-1 Summary'!E120:N120)+SUMIF('Schedule E -K-1 Summary'!E124:N124,'Fed-State Tax Payments'!K1,'Schedule E -K-1 Summary'!E127:N127)+SUMIF('Schedule E -K-1 Summary'!E129:N129,'Fed-State Tax Payments'!K1,'Schedule E -K-1 Summary'!E132:N132)+SUMIF('Schedule E -K-1 Summary'!E134:N134,'Fed-State Tax Payments'!K1,'Schedule E -K-1 Summary'!E137:N137)+SUMIF('Schedule E -K-1 Summary'!E139:N139,'Fed-State Tax Payments'!K1,'Schedule E -K-1 Summary'!E142:N142)+SUMIF('Schedule E -K-1 Summary'!E144:N144,'Fed-State Tax Payments'!K1,'Schedule E -K-1 Summary'!E147:N147)+SUMIF('Schedule E -K-1 Summary'!E149:N149,'Fed-State Tax Payments'!K1,'Schedule E -K-1 Summary'!E152:N152)+SUMIF('Schedule E -K-1 Summary'!E154:N154,'Fed-State Tax Payments'!K1,'Schedule E -K-1 Summary'!E157:N157)+SUMIF('Schedule E -K-1 Summary'!E159:N159,'Fed-State Tax Payments'!K1,'Schedule E -K-1 Summary'!E162:N162)</f>
        <v>0</v>
      </c>
      <c r="L27" s="116"/>
      <c r="M27" s="136">
        <f>SUMIF('Schedule E -K-1 Summary'!E106:N106,'Fed-State Tax Payments'!M1,'Schedule E -K-1 Summary'!E108:N108)+SUMIF('Schedule E -K-1 Summary'!E118:N118,'Fed-State Tax Payments'!M1,'Schedule E -K-1 Summary'!E120:N120)+SUMIF('Schedule E -K-1 Summary'!E124:N124,'Fed-State Tax Payments'!M1,'Schedule E -K-1 Summary'!E127:N127)+SUMIF('Schedule E -K-1 Summary'!E129:N129,'Fed-State Tax Payments'!M1,'Schedule E -K-1 Summary'!E132:N132)+SUMIF('Schedule E -K-1 Summary'!E134:N134,'Fed-State Tax Payments'!M1,'Schedule E -K-1 Summary'!E137:N137)+SUMIF('Schedule E -K-1 Summary'!E139:N139,'Fed-State Tax Payments'!M1,'Schedule E -K-1 Summary'!E142:N142)+SUMIF('Schedule E -K-1 Summary'!E144:N144,'Fed-State Tax Payments'!M1,'Schedule E -K-1 Summary'!E147:N147)+SUMIF('Schedule E -K-1 Summary'!E149:N149,'Fed-State Tax Payments'!M1,'Schedule E -K-1 Summary'!E152:N152)+SUMIF('Schedule E -K-1 Summary'!E154:N154,'Fed-State Tax Payments'!M1,'Schedule E -K-1 Summary'!E157:N157)+SUMIF('Schedule E -K-1 Summary'!E159:N159,'Fed-State Tax Payments'!M1,'Schedule E -K-1 Summary'!E162:N162)</f>
        <v>0</v>
      </c>
      <c r="N27" s="116"/>
      <c r="O27" s="136">
        <f>SUMIF('Schedule E -K-1 Summary'!E106:N106,'Fed-State Tax Payments'!O1,'Schedule E -K-1 Summary'!E108:N108)+SUMIF('Schedule E -K-1 Summary'!E118:N118,'Fed-State Tax Payments'!O1,'Schedule E -K-1 Summary'!E120:N120)+SUMIF('Schedule E -K-1 Summary'!E124:N124,'Fed-State Tax Payments'!O1,'Schedule E -K-1 Summary'!E127:N127)+SUMIF('Schedule E -K-1 Summary'!E129:N129,'Fed-State Tax Payments'!O1,'Schedule E -K-1 Summary'!E132:N132)+SUMIF('Schedule E -K-1 Summary'!E134:N134,'Fed-State Tax Payments'!O1,'Schedule E -K-1 Summary'!E137:N137)+SUMIF('Schedule E -K-1 Summary'!E139:N139,'Fed-State Tax Payments'!O1,'Schedule E -K-1 Summary'!E142:N142)+SUMIF('Schedule E -K-1 Summary'!E144:N144,'Fed-State Tax Payments'!O1,'Schedule E -K-1 Summary'!E147:N147)+SUMIF('Schedule E -K-1 Summary'!E149:N149,'Fed-State Tax Payments'!O1,'Schedule E -K-1 Summary'!E152:N152)+SUMIF('Schedule E -K-1 Summary'!E154:N154,'Fed-State Tax Payments'!O1,'Schedule E -K-1 Summary'!E157:N157)+SUMIF('Schedule E -K-1 Summary'!E159:N159,'Fed-State Tax Payments'!O1,'Schedule E -K-1 Summary'!E162:N162)</f>
        <v>0</v>
      </c>
      <c r="P27" s="116"/>
      <c r="Q27" s="136">
        <f>SUMIF('Schedule E -K-1 Summary'!E106:N106,'Fed-State Tax Payments'!Q1,'Schedule E -K-1 Summary'!E108:N108)+SUMIF('Schedule E -K-1 Summary'!E118:N118,'Fed-State Tax Payments'!Q1,'Schedule E -K-1 Summary'!E120:N120)+SUMIF('Schedule E -K-1 Summary'!E124:N124,'Fed-State Tax Payments'!Q1,'Schedule E -K-1 Summary'!E127:N127)+SUMIF('Schedule E -K-1 Summary'!E129:N129,'Fed-State Tax Payments'!Q1,'Schedule E -K-1 Summary'!E132:N132)+SUMIF('Schedule E -K-1 Summary'!E134:N134,'Fed-State Tax Payments'!Q1,'Schedule E -K-1 Summary'!E137:N137)+SUMIF('Schedule E -K-1 Summary'!E139:N139,'Fed-State Tax Payments'!Q1,'Schedule E -K-1 Summary'!E142:N142)+SUMIF('Schedule E -K-1 Summary'!E144:N144,'Fed-State Tax Payments'!Q1,'Schedule E -K-1 Summary'!E147:N147)+SUMIF('Schedule E -K-1 Summary'!E149:N149,'Fed-State Tax Payments'!Q1,'Schedule E -K-1 Summary'!E152:N152)+SUMIF('Schedule E -K-1 Summary'!E154:N154,'Fed-State Tax Payments'!Q1,'Schedule E -K-1 Summary'!E157:N157)+SUMIF('Schedule E -K-1 Summary'!E159:N159,'Fed-State Tax Payments'!Q1,'Schedule E -K-1 Summary'!E162:N162)</f>
        <v>0</v>
      </c>
      <c r="R27" s="116"/>
      <c r="S27" s="136">
        <f>SUMIF('Schedule E -K-1 Summary'!E106:N106,'Fed-State Tax Payments'!S1,'Schedule E -K-1 Summary'!E108:N108)+SUMIF('Schedule E -K-1 Summary'!E118:N118,'Fed-State Tax Payments'!S1,'Schedule E -K-1 Summary'!E120:N120)+SUMIF('Schedule E -K-1 Summary'!E124:N124,'Fed-State Tax Payments'!S1,'Schedule E -K-1 Summary'!E127:N127)+SUMIF('Schedule E -K-1 Summary'!E129:N129,'Fed-State Tax Payments'!S1,'Schedule E -K-1 Summary'!E132:N132)+SUMIF('Schedule E -K-1 Summary'!E134:N134,'Fed-State Tax Payments'!S1,'Schedule E -K-1 Summary'!E137:N137)+SUMIF('Schedule E -K-1 Summary'!E139:N139,'Fed-State Tax Payments'!S1,'Schedule E -K-1 Summary'!E142:N142)+SUMIF('Schedule E -K-1 Summary'!E144:N144,'Fed-State Tax Payments'!S1,'Schedule E -K-1 Summary'!E147:N147)+SUMIF('Schedule E -K-1 Summary'!E149:N149,'Fed-State Tax Payments'!S1,'Schedule E -K-1 Summary'!E152:N152)+SUMIF('Schedule E -K-1 Summary'!E154:N154,'Fed-State Tax Payments'!S1,'Schedule E -K-1 Summary'!E157:N157)+SUMIF('Schedule E -K-1 Summary'!E159:N159,'Fed-State Tax Payments'!S1,'Schedule E -K-1 Summary'!E162:N162)</f>
        <v>0</v>
      </c>
      <c r="T27" s="116"/>
      <c r="U27" s="104"/>
    </row>
    <row r="28" spans="1:21" x14ac:dyDescent="0.3">
      <c r="F28" s="116"/>
      <c r="G28" s="116"/>
      <c r="H28" s="116"/>
      <c r="I28" s="116"/>
      <c r="J28" s="116"/>
      <c r="K28" s="116"/>
      <c r="L28" s="116"/>
      <c r="M28" s="116"/>
      <c r="N28" s="116"/>
      <c r="O28" s="116"/>
      <c r="P28" s="116"/>
      <c r="Q28" s="116"/>
      <c r="R28" s="116"/>
      <c r="S28" s="116"/>
      <c r="T28" s="116"/>
      <c r="U28" s="121"/>
    </row>
    <row r="29" spans="1:21" x14ac:dyDescent="0.3">
      <c r="E29" s="116"/>
      <c r="F29" s="116"/>
      <c r="G29" s="116"/>
      <c r="H29" s="116"/>
      <c r="I29" s="116"/>
      <c r="J29" s="116"/>
      <c r="K29" s="116"/>
      <c r="L29" s="116"/>
      <c r="M29" s="116"/>
      <c r="N29" s="116"/>
      <c r="O29" s="116"/>
      <c r="P29" s="116"/>
      <c r="Q29" s="116"/>
      <c r="R29" s="116"/>
      <c r="S29" s="116"/>
      <c r="T29" s="116"/>
      <c r="U29" s="116"/>
    </row>
    <row r="30" spans="1:21" ht="15" thickBot="1" x14ac:dyDescent="0.35">
      <c r="A30" s="90" t="s">
        <v>1007</v>
      </c>
      <c r="B30" s="117"/>
      <c r="C30" s="117"/>
      <c r="E30" s="34" t="s">
        <v>989</v>
      </c>
      <c r="G30" s="133" t="str">
        <f>IF(G1="","",G1)</f>
        <v>IL</v>
      </c>
      <c r="I30" s="133" t="str">
        <f>IF(I1="","",I1)</f>
        <v>MO</v>
      </c>
      <c r="K30" s="133" t="str">
        <f>IF(K1="","",K1)</f>
        <v/>
      </c>
      <c r="L30" s="91"/>
      <c r="M30" s="133" t="str">
        <f>IF(M1="","",M1)</f>
        <v/>
      </c>
      <c r="N30" s="91"/>
      <c r="O30" s="133" t="str">
        <f>IF(O1="","",O1)</f>
        <v/>
      </c>
      <c r="P30" s="91"/>
      <c r="Q30" s="133" t="str">
        <f>IF(Q1="","",Q1)</f>
        <v/>
      </c>
      <c r="R30" s="91"/>
      <c r="S30" s="133" t="str">
        <f>IF(S1="","",S1)</f>
        <v/>
      </c>
      <c r="T30" s="91"/>
      <c r="U30" s="34" t="s">
        <v>265</v>
      </c>
    </row>
    <row r="31" spans="1:21" x14ac:dyDescent="0.3">
      <c r="E31" s="116"/>
      <c r="F31" s="116"/>
      <c r="G31" s="116"/>
      <c r="H31" s="116"/>
      <c r="I31" s="116"/>
      <c r="J31" s="116"/>
      <c r="K31" s="116"/>
      <c r="L31" s="116"/>
      <c r="M31" s="116"/>
      <c r="N31" s="116"/>
      <c r="O31" s="116"/>
      <c r="P31" s="116"/>
      <c r="Q31" s="116"/>
      <c r="R31" s="116"/>
      <c r="S31" s="116"/>
      <c r="T31" s="116"/>
      <c r="U31" s="116"/>
    </row>
    <row r="32" spans="1:21" x14ac:dyDescent="0.3">
      <c r="B32" s="91" t="s">
        <v>1008</v>
      </c>
      <c r="E32" s="56"/>
      <c r="F32" s="116"/>
      <c r="G32" s="56"/>
      <c r="H32" s="116"/>
      <c r="I32" s="56"/>
      <c r="J32" s="116"/>
      <c r="K32" s="56"/>
      <c r="L32" s="116"/>
      <c r="M32" s="56"/>
      <c r="N32" s="116"/>
      <c r="O32" s="56"/>
      <c r="P32" s="116"/>
      <c r="Q32" s="56"/>
      <c r="R32" s="116"/>
      <c r="S32" s="56"/>
      <c r="T32" s="116"/>
      <c r="U32" s="104">
        <f>SUM(D32:T32)</f>
        <v>0</v>
      </c>
    </row>
    <row r="33" spans="1:21" x14ac:dyDescent="0.3">
      <c r="B33" s="91" t="s">
        <v>1009</v>
      </c>
      <c r="E33" s="56"/>
      <c r="F33" s="116"/>
      <c r="G33" s="56"/>
      <c r="H33" s="116"/>
      <c r="I33" s="56"/>
      <c r="J33" s="116"/>
      <c r="K33" s="56"/>
      <c r="L33" s="116"/>
      <c r="M33" s="56"/>
      <c r="N33" s="116"/>
      <c r="O33" s="56"/>
      <c r="P33" s="116"/>
      <c r="Q33" s="56"/>
      <c r="R33" s="116"/>
      <c r="S33" s="56"/>
      <c r="T33" s="116"/>
      <c r="U33" s="104">
        <f>SUM(D33:T33)</f>
        <v>0</v>
      </c>
    </row>
    <row r="34" spans="1:21" x14ac:dyDescent="0.3">
      <c r="E34" s="116"/>
      <c r="F34" s="116"/>
      <c r="G34" s="116"/>
      <c r="H34" s="116"/>
      <c r="I34" s="116"/>
      <c r="J34" s="116"/>
      <c r="K34" s="116"/>
      <c r="L34" s="116"/>
      <c r="M34" s="116"/>
      <c r="N34" s="116"/>
      <c r="O34" s="116"/>
      <c r="P34" s="116"/>
      <c r="Q34" s="116"/>
      <c r="R34" s="116"/>
      <c r="S34" s="116"/>
      <c r="T34" s="116"/>
      <c r="U34" s="116"/>
    </row>
    <row r="35" spans="1:21" x14ac:dyDescent="0.3">
      <c r="A35" s="91" t="s">
        <v>1010</v>
      </c>
      <c r="E35" s="104">
        <f>E11+E22+E19+E32+E33+E27</f>
        <v>0</v>
      </c>
      <c r="F35" s="116"/>
      <c r="G35" s="104">
        <f>G11+G19-G14+G22+G27+G32+G33</f>
        <v>0</v>
      </c>
      <c r="H35" s="116"/>
      <c r="I35" s="104">
        <f>I11+I19-I14+I22+I27+I32+I33</f>
        <v>0</v>
      </c>
      <c r="J35" s="116"/>
      <c r="K35" s="104">
        <f>K11+K19-K14+K22+K27+K32+K33</f>
        <v>0</v>
      </c>
      <c r="L35" s="116"/>
      <c r="M35" s="104">
        <f>M11+M19-M14+M22+M27+M32+M33</f>
        <v>0</v>
      </c>
      <c r="N35" s="116"/>
      <c r="O35" s="104">
        <f>O11+O19-O14+O22+O27+O32+O33</f>
        <v>0</v>
      </c>
      <c r="P35" s="116"/>
      <c r="Q35" s="104">
        <f>Q11+Q19-Q14+Q22+Q27+Q32+Q33</f>
        <v>0</v>
      </c>
      <c r="R35" s="116"/>
      <c r="S35" s="104">
        <f>S11+S19-S14+S22+S27+S32+S33</f>
        <v>0</v>
      </c>
      <c r="T35" s="116"/>
      <c r="U35" s="112"/>
    </row>
    <row r="36" spans="1:21" x14ac:dyDescent="0.3">
      <c r="E36" s="116"/>
      <c r="F36" s="116"/>
      <c r="G36" s="116"/>
      <c r="H36" s="116"/>
      <c r="I36" s="116"/>
      <c r="J36" s="116"/>
      <c r="K36" s="116"/>
      <c r="L36" s="116"/>
      <c r="M36" s="116"/>
      <c r="N36" s="116"/>
      <c r="O36" s="116"/>
      <c r="P36" s="116"/>
      <c r="Q36" s="116"/>
      <c r="R36" s="116"/>
      <c r="S36" s="116"/>
      <c r="T36" s="116"/>
      <c r="U36" s="116"/>
    </row>
    <row r="37" spans="1:21" x14ac:dyDescent="0.3">
      <c r="E37" s="116"/>
      <c r="F37" s="116"/>
      <c r="G37" s="116"/>
      <c r="H37" s="116"/>
      <c r="I37" s="116"/>
      <c r="J37" s="116"/>
      <c r="K37" s="116"/>
      <c r="L37" s="116"/>
      <c r="M37" s="116"/>
      <c r="N37" s="116"/>
      <c r="O37" s="116"/>
      <c r="P37" s="116"/>
      <c r="Q37" s="116"/>
      <c r="R37" s="116"/>
      <c r="S37" s="116"/>
      <c r="T37" s="116"/>
      <c r="U37" s="116"/>
    </row>
    <row r="38" spans="1:21" x14ac:dyDescent="0.3">
      <c r="A38" s="135" t="s">
        <v>1011</v>
      </c>
      <c r="E38" s="116"/>
      <c r="F38" s="116"/>
      <c r="G38" s="116"/>
      <c r="H38" s="116"/>
      <c r="I38" s="116"/>
      <c r="J38" s="116"/>
      <c r="K38" s="116"/>
      <c r="L38" s="116"/>
      <c r="M38" s="116"/>
      <c r="N38" s="116"/>
      <c r="O38" s="116"/>
      <c r="P38" s="116"/>
      <c r="Q38" s="116"/>
      <c r="R38" s="116"/>
      <c r="S38" s="116"/>
      <c r="T38" s="116"/>
      <c r="U38" s="116"/>
    </row>
    <row r="39" spans="1:21" x14ac:dyDescent="0.3">
      <c r="E39" s="116"/>
      <c r="F39" s="116"/>
      <c r="G39" s="116"/>
      <c r="H39" s="116"/>
      <c r="I39" s="116"/>
      <c r="J39" s="116"/>
      <c r="K39" s="116"/>
      <c r="L39" s="116"/>
      <c r="M39" s="116"/>
      <c r="N39" s="116"/>
      <c r="O39" s="116"/>
      <c r="P39" s="116"/>
      <c r="Q39" s="116"/>
      <c r="R39" s="116"/>
      <c r="S39" s="116"/>
      <c r="T39" s="116"/>
      <c r="U39" s="116"/>
    </row>
    <row r="40" spans="1:21" x14ac:dyDescent="0.3">
      <c r="E40" s="116"/>
      <c r="F40" s="116"/>
      <c r="G40" s="116"/>
      <c r="H40" s="116"/>
      <c r="I40" s="116"/>
      <c r="J40" s="116"/>
      <c r="K40" s="116"/>
      <c r="L40" s="116"/>
      <c r="M40" s="116"/>
      <c r="N40" s="116"/>
      <c r="O40" s="116"/>
      <c r="P40" s="116"/>
      <c r="Q40" s="116"/>
      <c r="R40" s="116"/>
      <c r="S40" s="116"/>
      <c r="T40" s="116"/>
      <c r="U40" s="116"/>
    </row>
    <row r="41" spans="1:21" x14ac:dyDescent="0.3">
      <c r="E41" s="116"/>
      <c r="F41" s="116"/>
      <c r="G41" s="116"/>
      <c r="H41" s="116"/>
      <c r="I41" s="116"/>
      <c r="J41" s="116"/>
      <c r="K41" s="116"/>
      <c r="L41" s="116"/>
      <c r="M41" s="116"/>
      <c r="N41" s="116"/>
      <c r="O41" s="116"/>
      <c r="P41" s="116"/>
      <c r="Q41" s="116"/>
      <c r="R41" s="116"/>
      <c r="S41" s="116"/>
      <c r="T41" s="116"/>
      <c r="U41" s="116"/>
    </row>
    <row r="42" spans="1:21" x14ac:dyDescent="0.3">
      <c r="E42" s="116"/>
      <c r="F42" s="116"/>
      <c r="G42" s="116"/>
      <c r="H42" s="116"/>
      <c r="I42" s="116"/>
      <c r="J42" s="116"/>
      <c r="K42" s="116"/>
      <c r="L42" s="116"/>
      <c r="M42" s="116"/>
      <c r="N42" s="116"/>
      <c r="O42" s="116"/>
      <c r="P42" s="116"/>
      <c r="Q42" s="116"/>
      <c r="R42" s="116"/>
      <c r="S42" s="116"/>
      <c r="T42" s="116"/>
      <c r="U42" s="116"/>
    </row>
    <row r="43" spans="1:21" x14ac:dyDescent="0.3">
      <c r="E43" s="116"/>
      <c r="F43" s="116"/>
      <c r="G43" s="116"/>
      <c r="H43" s="116"/>
      <c r="I43" s="116"/>
      <c r="J43" s="116"/>
      <c r="K43" s="116"/>
      <c r="L43" s="116"/>
      <c r="M43" s="116"/>
      <c r="N43" s="116"/>
      <c r="O43" s="116"/>
      <c r="P43" s="116"/>
      <c r="Q43" s="116"/>
      <c r="R43" s="116"/>
      <c r="S43" s="116"/>
      <c r="T43" s="116"/>
      <c r="U43" s="116"/>
    </row>
    <row r="44" spans="1:21" x14ac:dyDescent="0.3">
      <c r="E44" s="116"/>
      <c r="F44" s="116"/>
      <c r="G44" s="116"/>
      <c r="H44" s="116"/>
      <c r="I44" s="116"/>
      <c r="J44" s="116"/>
      <c r="K44" s="116"/>
      <c r="L44" s="116"/>
      <c r="M44" s="116"/>
      <c r="N44" s="116"/>
      <c r="O44" s="116"/>
      <c r="P44" s="116"/>
      <c r="Q44" s="116"/>
      <c r="R44" s="116"/>
      <c r="S44" s="116"/>
      <c r="T44" s="116"/>
      <c r="U44" s="116"/>
    </row>
    <row r="45" spans="1:21" x14ac:dyDescent="0.3">
      <c r="E45" s="116"/>
      <c r="F45" s="116"/>
      <c r="G45" s="116"/>
      <c r="H45" s="116"/>
      <c r="I45" s="116"/>
      <c r="J45" s="116"/>
      <c r="K45" s="116"/>
      <c r="L45" s="116"/>
      <c r="M45" s="116"/>
      <c r="N45" s="116"/>
      <c r="O45" s="116"/>
      <c r="P45" s="116"/>
      <c r="Q45" s="116"/>
      <c r="R45" s="116"/>
      <c r="S45" s="116"/>
      <c r="T45" s="116"/>
      <c r="U45" s="116"/>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0000000}">
          <x14:formula1>
            <xm:f>Lists!$B$1:$B$51</xm:f>
          </x14:formula1>
          <xm:sqref>G1 Q1 I1 K1 M1 O1 S1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Lists</vt:lpstr>
      <vt:lpstr>1040 Summary</vt:lpstr>
      <vt:lpstr>W-2 Summary</vt:lpstr>
      <vt:lpstr>Brokerage Summary (Sch B, D)</vt:lpstr>
      <vt:lpstr>1099-R Summary</vt:lpstr>
      <vt:lpstr>Social Security</vt:lpstr>
      <vt:lpstr>K-1 Summary (Sch E) OLD</vt:lpstr>
      <vt:lpstr>Schedule E -K-1 Summary</vt:lpstr>
      <vt:lpstr>Schedule C - 1</vt:lpstr>
      <vt:lpstr>Schedule C - 2</vt:lpstr>
      <vt:lpstr>Schedule C - 3</vt:lpstr>
      <vt:lpstr>Form 4797</vt:lpstr>
      <vt:lpstr>Schedule E - Rental 1</vt:lpstr>
      <vt:lpstr>Sheet1</vt:lpstr>
      <vt:lpstr>Schedule E - Rental 2</vt:lpstr>
      <vt:lpstr>Schedule E - Rental 3</vt:lpstr>
      <vt:lpstr>QBID</vt:lpstr>
      <vt:lpstr>Schedule F 1</vt:lpstr>
      <vt:lpstr>Schedule F 2</vt:lpstr>
      <vt:lpstr>Schedule A</vt:lpstr>
      <vt:lpstr>State Tax Refunds (OLD)</vt:lpstr>
      <vt:lpstr>Schedule SE</vt:lpstr>
      <vt:lpstr>NII</vt:lpstr>
      <vt:lpstr>Fed-State Tax Payments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Hagen</dc:creator>
  <cp:keywords/>
  <dc:description/>
  <cp:lastModifiedBy>Huy Phạm</cp:lastModifiedBy>
  <cp:revision/>
  <dcterms:created xsi:type="dcterms:W3CDTF">2014-03-14T16:23:34Z</dcterms:created>
  <dcterms:modified xsi:type="dcterms:W3CDTF">2025-04-24T02:09:07Z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i4>30</vt:i4>
  </property>
  <property fmtid="{D5CDD505-2E9C-101B-9397-08002B2CF9AE}" pid="3" name="Refresh">
    <vt:bool>true</vt:bool>
  </property>
  <property fmtid="{D5CDD505-2E9C-101B-9397-08002B2CF9AE}" pid="4" name="Refresh97">
    <vt:bool>false</vt:bool>
  </property>
</Properties>
</file>